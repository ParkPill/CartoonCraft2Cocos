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160"/>
  </bookViews>
  <sheets>
    <sheet name="language" sheetId="1" r:id="rId1"/>
    <sheet name="시트2" sheetId="2" r:id="rId2"/>
  </sheets>
  <calcPr calcId="14562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W4" i="2" l="1"/>
  <c r="V4" i="2"/>
  <c r="U4" i="2"/>
  <c r="T4" i="2"/>
  <c r="S4" i="2"/>
  <c r="R4" i="2"/>
  <c r="Q4" i="2"/>
  <c r="P4" i="2"/>
  <c r="O4" i="2"/>
  <c r="N4" i="2"/>
  <c r="M4" i="2"/>
  <c r="L4" i="2"/>
  <c r="K4" i="2"/>
  <c r="J4" i="2"/>
  <c r="I4" i="2"/>
  <c r="H4" i="2"/>
  <c r="G4" i="2"/>
  <c r="F4" i="2"/>
  <c r="E4" i="2"/>
  <c r="D4" i="2"/>
  <c r="C4" i="2"/>
  <c r="B4" i="2"/>
  <c r="V2" i="2"/>
  <c r="U2" i="2"/>
  <c r="T2" i="2"/>
  <c r="S2" i="2"/>
  <c r="R2" i="2"/>
  <c r="Q2" i="2"/>
  <c r="P2" i="2"/>
  <c r="O2" i="2"/>
  <c r="N2" i="2"/>
  <c r="M2" i="2"/>
  <c r="L2" i="2"/>
  <c r="K2" i="2"/>
  <c r="J2" i="2"/>
  <c r="I2" i="2"/>
  <c r="H2" i="2"/>
  <c r="G2" i="2"/>
  <c r="F2" i="2"/>
  <c r="E2" i="2"/>
  <c r="D2" i="2"/>
  <c r="C2" i="2"/>
  <c r="G323" i="1" l="1"/>
  <c r="H202" i="1"/>
  <c r="G300" i="1"/>
  <c r="G180" i="1"/>
  <c r="G317" i="1"/>
  <c r="G197" i="1"/>
  <c r="G294" i="1"/>
  <c r="H354" i="1"/>
  <c r="G311" i="1"/>
  <c r="H191" i="1"/>
  <c r="G288" i="1"/>
  <c r="G168" i="1"/>
  <c r="G363" i="1"/>
  <c r="H236" i="1"/>
  <c r="H339" i="1"/>
  <c r="G217" i="1"/>
  <c r="G357" i="1"/>
  <c r="H230" i="1"/>
  <c r="H333" i="1"/>
  <c r="G205" i="1"/>
  <c r="G351" i="1"/>
  <c r="D225" i="1"/>
  <c r="H327" i="1"/>
  <c r="G207" i="1"/>
  <c r="G345" i="1"/>
  <c r="D221" i="1"/>
  <c r="H212" i="1"/>
  <c r="D129" i="1"/>
  <c r="H258" i="1"/>
  <c r="G175" i="1"/>
  <c r="H290" i="1"/>
  <c r="F114" i="1"/>
  <c r="H276" i="1"/>
  <c r="H379" i="1"/>
  <c r="G253" i="1"/>
  <c r="H366" i="1"/>
  <c r="H270" i="1"/>
  <c r="H373" i="1"/>
  <c r="H247" i="1"/>
  <c r="G256" i="1"/>
  <c r="F264" i="1"/>
  <c r="H367" i="1"/>
  <c r="H241" i="1"/>
  <c r="G386" i="1"/>
  <c r="G315" i="1"/>
  <c r="G195" i="1"/>
  <c r="G292" i="1"/>
  <c r="G172" i="1"/>
  <c r="G309" i="1"/>
  <c r="H189" i="1"/>
  <c r="G286" i="1"/>
  <c r="H334" i="1"/>
  <c r="H303" i="1"/>
  <c r="H183" i="1"/>
  <c r="H280" i="1"/>
  <c r="G160" i="1"/>
  <c r="H297" i="1"/>
  <c r="G248" i="1"/>
  <c r="H353" i="1"/>
  <c r="H201" i="1"/>
  <c r="H338" i="1"/>
  <c r="G266" i="1"/>
  <c r="H156" i="1"/>
  <c r="H59" i="1"/>
  <c r="G153" i="1"/>
  <c r="G154" i="1"/>
  <c r="G143" i="1"/>
  <c r="G374" i="1"/>
  <c r="H140" i="1"/>
  <c r="H61" i="1"/>
  <c r="H94" i="1"/>
  <c r="H265" i="1"/>
  <c r="G191" i="1"/>
  <c r="G227" i="1"/>
  <c r="H147" i="1"/>
  <c r="H306" i="1"/>
  <c r="G235" i="1"/>
  <c r="G138" i="1"/>
  <c r="G362" i="1"/>
  <c r="H135" i="1"/>
  <c r="H346" i="1"/>
  <c r="G130" i="1"/>
  <c r="G342" i="1"/>
  <c r="H128" i="1"/>
  <c r="G334" i="1"/>
  <c r="G85" i="1"/>
  <c r="H86" i="1"/>
  <c r="H386" i="1"/>
  <c r="G216" i="1"/>
  <c r="H377" i="1"/>
  <c r="F105" i="1"/>
  <c r="D104" i="1"/>
  <c r="H99" i="1"/>
  <c r="H139" i="1"/>
  <c r="G238" i="1"/>
  <c r="H60" i="1"/>
  <c r="H192" i="1"/>
  <c r="H172" i="1"/>
  <c r="D58" i="1"/>
  <c r="H35" i="1"/>
  <c r="D119" i="1"/>
  <c r="H109" i="1"/>
  <c r="G320" i="1"/>
  <c r="G234" i="1"/>
  <c r="D110" i="1"/>
  <c r="G314" i="1"/>
  <c r="H294" i="1"/>
  <c r="H328" i="1"/>
  <c r="G70" i="1"/>
  <c r="H8" i="1"/>
  <c r="H336" i="1"/>
  <c r="G196" i="1"/>
  <c r="D75" i="1"/>
  <c r="G27" i="1"/>
  <c r="G9" i="1"/>
  <c r="G228" i="1"/>
  <c r="G224" i="1"/>
  <c r="H348" i="1"/>
  <c r="H312" i="1"/>
  <c r="D43" i="1"/>
  <c r="H151" i="1"/>
  <c r="G106" i="1"/>
  <c r="G36" i="1"/>
  <c r="D28" i="1"/>
  <c r="H97" i="1"/>
  <c r="H80" i="1"/>
  <c r="G242" i="1"/>
  <c r="G355" i="1"/>
  <c r="H228" i="1"/>
  <c r="H331" i="1"/>
  <c r="G211" i="1"/>
  <c r="G349" i="1"/>
  <c r="H223" i="1"/>
  <c r="H325" i="1"/>
  <c r="G190" i="1"/>
  <c r="G343" i="1"/>
  <c r="H219" i="1"/>
  <c r="H319" i="1"/>
  <c r="G199" i="1"/>
  <c r="G337" i="1"/>
  <c r="H267" i="1"/>
  <c r="H371" i="1"/>
  <c r="H245" i="1"/>
  <c r="H350" i="1"/>
  <c r="H262" i="1"/>
  <c r="H365" i="1"/>
  <c r="G239" i="1"/>
  <c r="G383" i="1"/>
  <c r="H256" i="1"/>
  <c r="H359" i="1"/>
  <c r="G233" i="1"/>
  <c r="G377" i="1"/>
  <c r="H250" i="1"/>
  <c r="G275" i="1"/>
  <c r="H161" i="1"/>
  <c r="G321" i="1"/>
  <c r="H342" i="1"/>
  <c r="G354" i="1"/>
  <c r="H132" i="1"/>
  <c r="G307" i="1"/>
  <c r="H187" i="1"/>
  <c r="G284" i="1"/>
  <c r="G164" i="1"/>
  <c r="H301" i="1"/>
  <c r="H181" i="1"/>
  <c r="D279" i="1"/>
  <c r="H318" i="1"/>
  <c r="H295" i="1"/>
  <c r="H175" i="1"/>
  <c r="G273" i="1"/>
  <c r="G152" i="1"/>
  <c r="G347" i="1"/>
  <c r="G222" i="1"/>
  <c r="H323" i="1"/>
  <c r="G203" i="1"/>
  <c r="G341" i="1"/>
  <c r="G218" i="1"/>
  <c r="H317" i="1"/>
  <c r="G174" i="1"/>
  <c r="G335" i="1"/>
  <c r="D214" i="1"/>
  <c r="H311" i="1"/>
  <c r="G192" i="1"/>
  <c r="G329" i="1"/>
  <c r="H243" i="1"/>
  <c r="H289" i="1"/>
  <c r="G322" i="1"/>
  <c r="G178" i="1"/>
  <c r="H329" i="1"/>
  <c r="H213" i="1"/>
  <c r="H87" i="1"/>
  <c r="H209" i="1"/>
  <c r="D216" i="1"/>
  <c r="D195" i="1"/>
  <c r="H77" i="1"/>
  <c r="H190" i="1"/>
  <c r="F110" i="1"/>
  <c r="F113" i="1"/>
  <c r="G155" i="1"/>
  <c r="G150" i="1"/>
  <c r="H226" i="1"/>
  <c r="H259" i="1"/>
  <c r="G146" i="1"/>
  <c r="G298" i="1"/>
  <c r="G183" i="1"/>
  <c r="G73" i="1"/>
  <c r="H178" i="1"/>
  <c r="G186" i="1"/>
  <c r="H164" i="1"/>
  <c r="H65" i="1"/>
  <c r="G161" i="1"/>
  <c r="H89" i="1"/>
  <c r="D105" i="1"/>
  <c r="G126" i="1"/>
  <c r="H305" i="1"/>
  <c r="G338" i="1"/>
  <c r="H322" i="1"/>
  <c r="H145" i="1"/>
  <c r="H142" i="1"/>
  <c r="G136" i="1"/>
  <c r="D134" i="1"/>
  <c r="G87" i="1"/>
  <c r="H107" i="1"/>
  <c r="G312" i="1"/>
  <c r="G14" i="1"/>
  <c r="H138" i="1"/>
  <c r="F100" i="1"/>
  <c r="G189" i="1"/>
  <c r="H157" i="1"/>
  <c r="G10" i="1"/>
  <c r="H108" i="1"/>
  <c r="H275" i="1"/>
  <c r="G121" i="1"/>
  <c r="G116" i="1"/>
  <c r="H364" i="1"/>
  <c r="H249" i="1"/>
  <c r="G101" i="1"/>
  <c r="G140" i="1"/>
  <c r="D4" i="1"/>
  <c r="H188" i="1"/>
  <c r="G61" i="1"/>
  <c r="D42" i="1"/>
  <c r="D26" i="1"/>
  <c r="G350" i="1"/>
  <c r="G83" i="1"/>
  <c r="G94" i="1"/>
  <c r="H76" i="1"/>
  <c r="H233" i="1"/>
  <c r="G340" i="1"/>
  <c r="G88" i="1"/>
  <c r="G52" i="1"/>
  <c r="H133" i="1"/>
  <c r="D122" i="1"/>
  <c r="G368" i="1"/>
  <c r="H171" i="1"/>
  <c r="G148" i="1"/>
  <c r="H384" i="1"/>
  <c r="G287" i="1"/>
  <c r="H383" i="1"/>
  <c r="H374" i="1"/>
  <c r="H210" i="1"/>
  <c r="G188" i="1"/>
  <c r="H204" i="1"/>
  <c r="G142" i="1"/>
  <c r="H198" i="1"/>
  <c r="G176" i="1"/>
  <c r="H177" i="1"/>
  <c r="G111" i="1"/>
  <c r="G115" i="1"/>
  <c r="G371" i="1"/>
  <c r="H347" i="1"/>
  <c r="G365" i="1"/>
  <c r="H341" i="1"/>
  <c r="G359" i="1"/>
  <c r="H335" i="1"/>
  <c r="G353" i="1"/>
  <c r="G384" i="1"/>
  <c r="H382" i="1"/>
  <c r="H381" i="1"/>
  <c r="G272" i="1"/>
  <c r="H375" i="1"/>
  <c r="H358" i="1"/>
  <c r="D141" i="1"/>
  <c r="F122" i="1"/>
  <c r="H197" i="1"/>
  <c r="G330" i="1"/>
  <c r="H314" i="1"/>
  <c r="G310" i="1"/>
  <c r="H271" i="1"/>
  <c r="H208" i="1"/>
  <c r="G134" i="1"/>
  <c r="H200" i="1"/>
  <c r="G117" i="1"/>
  <c r="F116" i="1"/>
  <c r="G112" i="1"/>
  <c r="H216" i="1"/>
  <c r="H332" i="1"/>
  <c r="H279" i="1"/>
  <c r="G251" i="1"/>
  <c r="H378" i="1"/>
  <c r="G366" i="1"/>
  <c r="G34" i="1"/>
  <c r="G69" i="1"/>
  <c r="G77" i="1"/>
  <c r="G63" i="1"/>
  <c r="G243" i="1"/>
  <c r="F120" i="1"/>
  <c r="H84" i="1"/>
  <c r="H57" i="1"/>
  <c r="G49" i="1"/>
  <c r="G324" i="1"/>
  <c r="D133" i="1"/>
  <c r="G223" i="1"/>
  <c r="H18" i="1"/>
  <c r="H42" i="1"/>
  <c r="H356" i="1"/>
  <c r="G44" i="1"/>
  <c r="D30" i="1"/>
  <c r="H186" i="1"/>
  <c r="G95" i="1"/>
  <c r="H85" i="1"/>
  <c r="G181" i="1"/>
  <c r="H284" i="1"/>
  <c r="H47" i="1"/>
  <c r="H110" i="1"/>
  <c r="H288" i="1"/>
  <c r="H121" i="1"/>
  <c r="H30" i="1"/>
  <c r="D103" i="1"/>
  <c r="D112" i="1"/>
  <c r="G19" i="1"/>
  <c r="G108" i="1"/>
  <c r="G169" i="1"/>
  <c r="G54" i="1"/>
  <c r="H168" i="1"/>
  <c r="H112" i="1"/>
  <c r="G123" i="1"/>
  <c r="H326" i="1"/>
  <c r="G267" i="1"/>
  <c r="H182" i="1"/>
  <c r="G15" i="1"/>
  <c r="D39" i="1"/>
  <c r="H340" i="1"/>
  <c r="H41" i="1"/>
  <c r="G102" i="1"/>
  <c r="G17" i="1"/>
  <c r="H255" i="1"/>
  <c r="H344" i="1"/>
  <c r="D223" i="1"/>
  <c r="D44" i="1"/>
  <c r="H106" i="1"/>
  <c r="H273" i="1"/>
  <c r="H44" i="1"/>
  <c r="H7" i="1"/>
  <c r="D132" i="1"/>
  <c r="H360" i="1"/>
  <c r="H158" i="1"/>
  <c r="H79" i="1"/>
  <c r="G71" i="1"/>
  <c r="G137" i="1"/>
  <c r="H176" i="1"/>
  <c r="H40" i="1"/>
  <c r="H102" i="1"/>
  <c r="H257" i="1"/>
  <c r="H118" i="1"/>
  <c r="G42" i="1"/>
  <c r="C27" i="1"/>
  <c r="H10" i="1"/>
  <c r="H286" i="1"/>
  <c r="H72" i="1"/>
  <c r="H376" i="1"/>
  <c r="C28" i="1"/>
  <c r="H363" i="1"/>
  <c r="G381" i="1"/>
  <c r="H357" i="1"/>
  <c r="G375" i="1"/>
  <c r="H351" i="1"/>
  <c r="G369" i="1"/>
  <c r="H179" i="1"/>
  <c r="G156" i="1"/>
  <c r="H173" i="1"/>
  <c r="G303" i="1"/>
  <c r="H167" i="1"/>
  <c r="G144" i="1"/>
  <c r="H337" i="1"/>
  <c r="H91" i="1"/>
  <c r="D70" i="1"/>
  <c r="G339" i="1"/>
  <c r="H315" i="1"/>
  <c r="G333" i="1"/>
  <c r="H309" i="1"/>
  <c r="G327" i="1"/>
  <c r="G304" i="1"/>
  <c r="G379" i="1"/>
  <c r="H355" i="1"/>
  <c r="G373" i="1"/>
  <c r="H349" i="1"/>
  <c r="G367" i="1"/>
  <c r="H343" i="1"/>
  <c r="G361" i="1"/>
  <c r="F103" i="1"/>
  <c r="H96" i="1"/>
  <c r="G295" i="1"/>
  <c r="H266" i="1"/>
  <c r="G252" i="1"/>
  <c r="D248" i="1"/>
  <c r="H155" i="1"/>
  <c r="D306" i="1"/>
  <c r="D57" i="1"/>
  <c r="H361" i="1"/>
  <c r="F101" i="1"/>
  <c r="G99" i="1"/>
  <c r="H93" i="1"/>
  <c r="H127" i="1"/>
  <c r="D212" i="1"/>
  <c r="F107" i="1"/>
  <c r="D264" i="1"/>
  <c r="G236" i="1"/>
  <c r="H137" i="1"/>
  <c r="H9" i="1"/>
  <c r="G18" i="1"/>
  <c r="H308" i="1"/>
  <c r="G35" i="1"/>
  <c r="G151" i="1"/>
  <c r="G299" i="1"/>
  <c r="H22" i="1"/>
  <c r="H372" i="1"/>
  <c r="C17" i="1"/>
  <c r="G104" i="1"/>
  <c r="F97" i="1"/>
  <c r="D131" i="1"/>
  <c r="G360" i="1"/>
  <c r="H237" i="1"/>
  <c r="G230" i="1"/>
  <c r="H20" i="1"/>
  <c r="G372" i="1"/>
  <c r="G194" i="1"/>
  <c r="H221" i="1"/>
  <c r="H205" i="1"/>
  <c r="H152" i="1"/>
  <c r="G39" i="1"/>
  <c r="H180" i="1"/>
  <c r="H242" i="1"/>
  <c r="G103" i="1"/>
  <c r="H17" i="1"/>
  <c r="G202" i="1"/>
  <c r="H316" i="1"/>
  <c r="G37" i="1"/>
  <c r="G82" i="1"/>
  <c r="G81" i="1"/>
  <c r="D68" i="1"/>
  <c r="G246" i="1"/>
  <c r="H67" i="1"/>
  <c r="G45" i="1"/>
  <c r="G244" i="1"/>
  <c r="G113" i="1"/>
  <c r="F108" i="1"/>
  <c r="G301" i="1"/>
  <c r="G220" i="1"/>
  <c r="H73" i="1"/>
  <c r="G128" i="1"/>
  <c r="G352" i="1"/>
  <c r="H211" i="1"/>
  <c r="F6" i="1"/>
  <c r="F111" i="1"/>
  <c r="H129" i="1"/>
  <c r="D35" i="1"/>
  <c r="H154" i="1"/>
  <c r="G226" i="1"/>
  <c r="G92" i="1"/>
  <c r="H269" i="1"/>
  <c r="H130" i="1"/>
  <c r="G23" i="1"/>
  <c r="G135" i="1"/>
  <c r="G162" i="1"/>
  <c r="H194" i="1"/>
  <c r="H174" i="1"/>
  <c r="G124" i="1"/>
  <c r="D32" i="1"/>
  <c r="H136" i="1"/>
  <c r="G215" i="1"/>
  <c r="G76" i="1"/>
  <c r="G48" i="1"/>
  <c r="B10" i="1"/>
  <c r="G31" i="1"/>
  <c r="G171" i="1"/>
  <c r="H166" i="1"/>
  <c r="G285" i="1"/>
  <c r="G250" i="1"/>
  <c r="H31" i="1"/>
  <c r="G107" i="1"/>
  <c r="G62" i="1"/>
  <c r="G20" i="1"/>
  <c r="G74" i="1"/>
  <c r="H69" i="1"/>
  <c r="H58" i="1"/>
  <c r="G380" i="1"/>
  <c r="H274" i="1"/>
  <c r="H260" i="1"/>
  <c r="H248" i="1"/>
  <c r="H299" i="1"/>
  <c r="G282" i="1"/>
  <c r="H252" i="1"/>
  <c r="D108" i="1"/>
  <c r="G89" i="1"/>
  <c r="G46" i="1"/>
  <c r="H83" i="1"/>
  <c r="H123" i="1"/>
  <c r="F112" i="1"/>
  <c r="H26" i="1"/>
  <c r="H63" i="1"/>
  <c r="D113" i="1"/>
  <c r="H304" i="1"/>
  <c r="G56" i="1"/>
  <c r="D140" i="1"/>
  <c r="H64" i="1"/>
  <c r="D11" i="1"/>
  <c r="D116" i="1"/>
  <c r="G185" i="1"/>
  <c r="H148" i="1"/>
  <c r="G68" i="1"/>
  <c r="H261" i="1"/>
  <c r="G269" i="1"/>
  <c r="G263" i="1"/>
  <c r="G257" i="1"/>
  <c r="G302" i="1"/>
  <c r="G296" i="1"/>
  <c r="H227" i="1"/>
  <c r="H218" i="1"/>
  <c r="G249" i="1"/>
  <c r="D127" i="1"/>
  <c r="D106" i="1"/>
  <c r="G279" i="1"/>
  <c r="G378" i="1"/>
  <c r="H25" i="1"/>
  <c r="H244" i="1"/>
  <c r="G193" i="1"/>
  <c r="H162" i="1"/>
  <c r="G118" i="1"/>
  <c r="H101" i="1"/>
  <c r="G157" i="1"/>
  <c r="D31" i="1"/>
  <c r="G57" i="1"/>
  <c r="H34" i="1"/>
  <c r="G96" i="1"/>
  <c r="D94" i="1"/>
  <c r="F102" i="1"/>
  <c r="H88" i="1"/>
  <c r="F115" i="1"/>
  <c r="H296" i="1"/>
  <c r="G149" i="1"/>
  <c r="G173" i="1"/>
  <c r="H105" i="1"/>
  <c r="G306" i="1"/>
  <c r="G125" i="1"/>
  <c r="G281" i="1"/>
  <c r="H160" i="1"/>
  <c r="G32" i="1"/>
  <c r="H51" i="1"/>
  <c r="H3" i="1"/>
  <c r="G170" i="1"/>
  <c r="G40" i="1"/>
  <c r="D74" i="1"/>
  <c r="G382" i="1"/>
  <c r="H264" i="1"/>
  <c r="H149" i="1"/>
  <c r="G65" i="1"/>
  <c r="G271" i="1"/>
  <c r="H170" i="1"/>
  <c r="G158" i="1"/>
  <c r="G229" i="1"/>
  <c r="G98" i="1"/>
  <c r="F104" i="1"/>
  <c r="G209" i="1"/>
  <c r="D219" i="1"/>
  <c r="G177" i="1"/>
  <c r="G208" i="1"/>
  <c r="H292" i="1"/>
  <c r="H239" i="1"/>
  <c r="D120" i="1"/>
  <c r="G66" i="1"/>
  <c r="H224" i="1"/>
  <c r="G30" i="1"/>
  <c r="H281" i="1"/>
  <c r="H291" i="1"/>
  <c r="H285" i="1"/>
  <c r="G280" i="1"/>
  <c r="G331" i="1"/>
  <c r="G325" i="1"/>
  <c r="G319" i="1"/>
  <c r="G313" i="1"/>
  <c r="H193" i="1"/>
  <c r="G245" i="1"/>
  <c r="H238" i="1"/>
  <c r="H232" i="1"/>
  <c r="D284" i="1"/>
  <c r="H278" i="1"/>
  <c r="H272" i="1"/>
  <c r="H234" i="1"/>
  <c r="G276" i="1"/>
  <c r="H124" i="1"/>
  <c r="F119" i="1"/>
  <c r="G119" i="1"/>
  <c r="H370" i="1"/>
  <c r="H283" i="1"/>
  <c r="G213" i="1"/>
  <c r="G127" i="1"/>
  <c r="G358" i="1"/>
  <c r="H115" i="1"/>
  <c r="G75" i="1"/>
  <c r="G260" i="1"/>
  <c r="B4" i="1"/>
  <c r="H23" i="1"/>
  <c r="G131" i="1"/>
  <c r="H62" i="1"/>
  <c r="H320" i="1"/>
  <c r="H321" i="1"/>
  <c r="G93" i="1"/>
  <c r="H52" i="1"/>
  <c r="H14" i="1"/>
  <c r="F9" i="1"/>
  <c r="H81" i="1"/>
  <c r="G328" i="1"/>
  <c r="G204" i="1"/>
  <c r="G90" i="1"/>
  <c r="D9" i="1"/>
  <c r="G283" i="1"/>
  <c r="G265" i="1"/>
  <c r="G4" i="1"/>
  <c r="G141" i="1"/>
  <c r="G33" i="1"/>
  <c r="H48" i="1"/>
  <c r="G8" i="1"/>
  <c r="D7" i="1"/>
  <c r="G55" i="1"/>
  <c r="G259" i="1"/>
  <c r="G201" i="1"/>
  <c r="H45" i="1"/>
  <c r="F4" i="1"/>
  <c r="H33" i="1"/>
  <c r="H143" i="1"/>
  <c r="G114" i="1"/>
  <c r="H165" i="1"/>
  <c r="H56" i="1"/>
  <c r="G43" i="1"/>
  <c r="E127" i="1"/>
  <c r="H28" i="1"/>
  <c r="G258" i="1"/>
  <c r="B9" i="1"/>
  <c r="G11" i="1"/>
  <c r="G291" i="1"/>
  <c r="D130" i="1"/>
  <c r="F123" i="1"/>
  <c r="F99" i="1"/>
  <c r="F8" i="1"/>
  <c r="H71" i="1"/>
  <c r="D139" i="1"/>
  <c r="G41" i="1"/>
  <c r="H203" i="1"/>
  <c r="G122" i="1"/>
  <c r="H196" i="1"/>
  <c r="F11" i="1"/>
  <c r="H29" i="1"/>
  <c r="H324" i="1"/>
  <c r="H38" i="1"/>
  <c r="D128" i="1"/>
  <c r="D46" i="1"/>
  <c r="G22" i="1"/>
  <c r="G139" i="1"/>
  <c r="G67" i="1"/>
  <c r="G58" i="1"/>
  <c r="D117" i="1"/>
  <c r="H134" i="1"/>
  <c r="H32" i="1"/>
  <c r="H90" i="1"/>
  <c r="H225" i="1"/>
  <c r="G80" i="1"/>
  <c r="G7" i="1"/>
  <c r="G91" i="1"/>
  <c r="H92" i="1"/>
  <c r="D6" i="1"/>
  <c r="G64" i="1"/>
  <c r="G132" i="1"/>
  <c r="H37" i="1"/>
  <c r="H55" i="1"/>
  <c r="H254" i="1"/>
  <c r="H293" i="1"/>
  <c r="H287" i="1"/>
  <c r="G290" i="1"/>
  <c r="D217" i="1"/>
  <c r="G212" i="1"/>
  <c r="H206" i="1"/>
  <c r="G247" i="1"/>
  <c r="H240" i="1"/>
  <c r="H369" i="1"/>
  <c r="H169" i="1"/>
  <c r="G159" i="1"/>
  <c r="D76" i="1"/>
  <c r="G240" i="1"/>
  <c r="D222" i="1"/>
  <c r="H126" i="1"/>
  <c r="H231" i="1"/>
  <c r="H46" i="1"/>
  <c r="G274" i="1"/>
  <c r="G166" i="1"/>
  <c r="H146" i="1"/>
  <c r="D107" i="1"/>
  <c r="G28" i="1"/>
  <c r="G200" i="1"/>
  <c r="G210" i="1"/>
  <c r="G6" i="1"/>
  <c r="G278" i="1"/>
  <c r="D59" i="1"/>
  <c r="D198" i="1"/>
  <c r="H82" i="1"/>
  <c r="C35" i="1"/>
  <c r="H215" i="1"/>
  <c r="H70" i="1"/>
  <c r="G47" i="1"/>
  <c r="F106" i="1"/>
  <c r="B5" i="1"/>
  <c r="G262" i="1"/>
  <c r="G110" i="1"/>
  <c r="H36" i="1"/>
  <c r="G179" i="1"/>
  <c r="G376" i="1"/>
  <c r="H246" i="1"/>
  <c r="D5" i="1"/>
  <c r="G60" i="1"/>
  <c r="H68" i="1"/>
  <c r="D8" i="1"/>
  <c r="F10" i="1"/>
  <c r="G53" i="1"/>
  <c r="G293" i="1"/>
  <c r="G147" i="1"/>
  <c r="G206" i="1"/>
  <c r="G221" i="1"/>
  <c r="H330" i="1"/>
  <c r="H302" i="1"/>
  <c r="D29" i="1"/>
  <c r="D71" i="1"/>
  <c r="H54" i="1"/>
  <c r="D34" i="1"/>
  <c r="G318" i="1"/>
  <c r="H78" i="1"/>
  <c r="H207" i="1"/>
  <c r="D123" i="1"/>
  <c r="G336" i="1"/>
  <c r="H53" i="1"/>
  <c r="H12" i="1"/>
  <c r="H362" i="1"/>
  <c r="H163" i="1"/>
  <c r="H150" i="1"/>
  <c r="G24" i="1"/>
  <c r="H116" i="1"/>
  <c r="G59" i="1"/>
  <c r="G5" i="1"/>
  <c r="G254" i="1"/>
  <c r="G26" i="1"/>
  <c r="G51" i="1"/>
  <c r="H50" i="1"/>
  <c r="H159" i="1"/>
  <c r="H307" i="1"/>
  <c r="H310" i="1"/>
  <c r="H222" i="1"/>
  <c r="G214" i="1"/>
  <c r="G261" i="1"/>
  <c r="G255" i="1"/>
  <c r="G232" i="1"/>
  <c r="G120" i="1"/>
  <c r="C70" i="1"/>
  <c r="H298" i="1"/>
  <c r="G297" i="1"/>
  <c r="G100" i="1"/>
  <c r="H199" i="1"/>
  <c r="F127" i="1"/>
  <c r="H4" i="1"/>
  <c r="H6" i="1"/>
  <c r="H345" i="1"/>
  <c r="G133" i="1"/>
  <c r="G78" i="1"/>
  <c r="D121" i="1"/>
  <c r="G13" i="1"/>
  <c r="D102" i="1"/>
  <c r="H263" i="1"/>
  <c r="G305" i="1"/>
  <c r="H380" i="1"/>
  <c r="H122" i="1"/>
  <c r="H95" i="1"/>
  <c r="H313" i="1"/>
  <c r="H114" i="1"/>
  <c r="G332" i="1"/>
  <c r="H19" i="1"/>
  <c r="H141" i="1"/>
  <c r="H229" i="1"/>
  <c r="H111" i="1"/>
  <c r="H131" i="1"/>
  <c r="H75" i="1"/>
  <c r="H117" i="1"/>
  <c r="F7" i="1"/>
  <c r="B8" i="1"/>
  <c r="F121" i="1"/>
  <c r="G163" i="1"/>
  <c r="G356" i="1"/>
  <c r="G289" i="1"/>
  <c r="G129" i="1"/>
  <c r="G165" i="1"/>
  <c r="G182" i="1"/>
  <c r="H282" i="1"/>
  <c r="H74" i="1"/>
  <c r="G97" i="1"/>
  <c r="B7" i="1"/>
  <c r="G308" i="1"/>
  <c r="H49" i="1"/>
  <c r="H104" i="1"/>
  <c r="G109" i="1"/>
  <c r="H5" i="1"/>
  <c r="G25" i="1"/>
  <c r="G237" i="1"/>
  <c r="G231" i="1"/>
  <c r="G225" i="1"/>
  <c r="G277" i="1"/>
  <c r="G264" i="1"/>
  <c r="G219" i="1"/>
  <c r="H195" i="1"/>
  <c r="G184" i="1"/>
  <c r="D224" i="1"/>
  <c r="D220" i="1"/>
  <c r="F109" i="1"/>
  <c r="G270" i="1"/>
  <c r="H235" i="1"/>
  <c r="H251" i="1"/>
  <c r="H119" i="1"/>
  <c r="D47" i="1"/>
  <c r="G21" i="1"/>
  <c r="H125" i="1"/>
  <c r="F117" i="1"/>
  <c r="B6" i="1"/>
  <c r="F5" i="1"/>
  <c r="G29" i="1"/>
  <c r="G187" i="1"/>
  <c r="H144" i="1"/>
  <c r="D38" i="1"/>
  <c r="H24" i="1"/>
  <c r="H103" i="1"/>
  <c r="D115" i="1"/>
  <c r="G346" i="1"/>
  <c r="H15" i="1"/>
  <c r="H39" i="1"/>
  <c r="H43" i="1"/>
  <c r="H66" i="1"/>
  <c r="H100" i="1"/>
  <c r="D17" i="1"/>
  <c r="H220" i="1"/>
  <c r="H253" i="1"/>
  <c r="C11" i="1"/>
  <c r="H120" i="1"/>
  <c r="G86" i="1"/>
  <c r="G50" i="1"/>
  <c r="H217" i="1"/>
  <c r="H153" i="1"/>
  <c r="H352" i="1"/>
  <c r="H214" i="1"/>
  <c r="H277" i="1"/>
  <c r="G364" i="1"/>
  <c r="G198" i="1"/>
  <c r="G105" i="1"/>
  <c r="G348" i="1"/>
  <c r="D33" i="1"/>
  <c r="G326" i="1"/>
  <c r="H368" i="1"/>
  <c r="G79" i="1"/>
  <c r="D114" i="1"/>
  <c r="G370" i="1"/>
  <c r="G344" i="1"/>
  <c r="C41" i="1"/>
  <c r="G84" i="1"/>
  <c r="H13" i="1"/>
  <c r="G3" i="1"/>
  <c r="D118" i="1"/>
  <c r="H27" i="1"/>
  <c r="D109" i="1"/>
  <c r="H11" i="1"/>
  <c r="D10" i="1"/>
  <c r="D45" i="1"/>
  <c r="G72" i="1"/>
  <c r="G316" i="1"/>
  <c r="D66" i="1"/>
  <c r="H21" i="1"/>
  <c r="G167" i="1"/>
  <c r="H184" i="1"/>
  <c r="H16" i="1"/>
  <c r="H185" i="1"/>
  <c r="G38" i="1"/>
  <c r="H300" i="1"/>
  <c r="F98" i="1"/>
  <c r="F118" i="1"/>
  <c r="H98" i="1"/>
  <c r="H113" i="1"/>
  <c r="D218" i="1"/>
  <c r="G145" i="1"/>
</calcChain>
</file>

<file path=xl/sharedStrings.xml><?xml version="1.0" encoding="utf-8"?>
<sst xmlns="http://schemas.openxmlformats.org/spreadsheetml/2006/main" count="3107" uniqueCount="3031">
  <si>
    <t>order</t>
  </si>
  <si>
    <t>english</t>
  </si>
  <si>
    <t>korean</t>
  </si>
  <si>
    <t>spanish</t>
  </si>
  <si>
    <t>russian</t>
  </si>
  <si>
    <t>french</t>
  </si>
  <si>
    <t>german</t>
  </si>
  <si>
    <t>turkish</t>
  </si>
  <si>
    <t>getFullVersion</t>
  </si>
  <si>
    <t>FULL PACKAGE</t>
  </si>
  <si>
    <t>풀 패키지</t>
  </si>
  <si>
    <t>VERSIÓN COMPLETA</t>
  </si>
  <si>
    <t>ПОЛНАЯ ВЕРСИЯ</t>
  </si>
  <si>
    <t>VERSION COMPLÈTE</t>
  </si>
  <si>
    <t>한국어</t>
  </si>
  <si>
    <t>корейский</t>
  </si>
  <si>
    <t>영어</t>
  </si>
  <si>
    <t>английский</t>
  </si>
  <si>
    <t>러시아어</t>
  </si>
  <si>
    <t>русский</t>
  </si>
  <si>
    <t>프랑스어</t>
  </si>
  <si>
    <t>франц-кий</t>
  </si>
  <si>
    <t>터키어</t>
  </si>
  <si>
    <t>турецкий</t>
  </si>
  <si>
    <t>독일어</t>
  </si>
  <si>
    <t>немецкий</t>
  </si>
  <si>
    <t>스페인어</t>
  </si>
  <si>
    <t>испанский</t>
  </si>
  <si>
    <t>language</t>
  </si>
  <si>
    <t>Language</t>
  </si>
  <si>
    <t>Язык</t>
  </si>
  <si>
    <t>menu</t>
  </si>
  <si>
    <t>MENU</t>
  </si>
  <si>
    <t>메뉴</t>
  </si>
  <si>
    <t>MENÚ</t>
  </si>
  <si>
    <t>МЕНЮ</t>
  </si>
  <si>
    <t>ok</t>
  </si>
  <si>
    <t>OK</t>
  </si>
  <si>
    <t>확인</t>
  </si>
  <si>
    <t>ОК</t>
  </si>
  <si>
    <t>cancel</t>
  </si>
  <si>
    <t>Cancel</t>
  </si>
  <si>
    <t>취소</t>
  </si>
  <si>
    <t>Cancelar</t>
  </si>
  <si>
    <t>Отмена</t>
  </si>
  <si>
    <t>Annuler</t>
  </si>
  <si>
    <t>exit</t>
  </si>
  <si>
    <t>EXIT</t>
  </si>
  <si>
    <t>나가기</t>
  </si>
  <si>
    <t>SALIR</t>
  </si>
  <si>
    <t>ВЫХОД</t>
  </si>
  <si>
    <t>SORTIR</t>
  </si>
  <si>
    <t>setting</t>
  </si>
  <si>
    <t>SETTINGS</t>
  </si>
  <si>
    <t>설정</t>
  </si>
  <si>
    <t>Ajustes</t>
  </si>
  <si>
    <t>Настройки</t>
  </si>
  <si>
    <t>Paramètres</t>
  </si>
  <si>
    <t>network reset</t>
  </si>
  <si>
    <t>Network Reset</t>
  </si>
  <si>
    <t>Сброс Данных Сети</t>
  </si>
  <si>
    <t>Réinitialisation réseau</t>
  </si>
  <si>
    <t>network reset warning</t>
  </si>
  <si>
    <t>Network data will be erased. Scenario mode data is not affected. Do you want to continue?</t>
  </si>
  <si>
    <t>Se borrarán los datos de la red. Los datos del modo de escenario no se ven afectados. ¿Quieres continuar?</t>
  </si>
  <si>
    <t>Данные сети будут удалены. Данные режима сценария не затрагиваются. Вы хотите продолжить?</t>
  </si>
  <si>
    <t>Toutes les données en ligne vont être effacées. Le mode scenario n'est pas affecté. Voulez-vous continuer ?</t>
  </si>
  <si>
    <t>you cannot build there</t>
  </si>
  <si>
    <t>You can not build there</t>
  </si>
  <si>
    <t>거기에 건축 할 수 없습니다.</t>
  </si>
  <si>
    <t>No se puede construir alli</t>
  </si>
  <si>
    <t>Не выходит тут что-либо построить</t>
  </si>
  <si>
    <t>Vous ne pouvez pas construire ici</t>
  </si>
  <si>
    <t>mission cleared</t>
  </si>
  <si>
    <t>MISSION CLEARED</t>
  </si>
  <si>
    <t>미션 성공</t>
  </si>
  <si>
    <t>MISIÓN COMPLETADA</t>
  </si>
  <si>
    <t>МИССИЯ ВЫПОЛНЕНА</t>
  </si>
  <si>
    <t>MISSION RÉUSSIE</t>
  </si>
  <si>
    <t>mission failed</t>
  </si>
  <si>
    <t>MISSION FAILED</t>
  </si>
  <si>
    <t>미션 실패</t>
  </si>
  <si>
    <t>MISIÓN FALLIDA</t>
  </si>
  <si>
    <t>МИССИЯ ПРОВАЛЕНА</t>
  </si>
  <si>
    <t>MISSION ÉCHOUÉE</t>
  </si>
  <si>
    <t>premium retry</t>
  </si>
  <si>
    <t>PREMINUM START</t>
  </si>
  <si>
    <t>프리미엄 스타트</t>
  </si>
  <si>
    <t>INICIO PREMIUM</t>
  </si>
  <si>
    <t>ПРЕМИУМ-СТАРТ</t>
  </si>
  <si>
    <t>DÉPART PREMIUM</t>
  </si>
  <si>
    <t>premium retry desc</t>
  </si>
  <si>
    <t>Re-start this stage with resources</t>
  </si>
  <si>
    <t>위 자원을 받고 시작하세요</t>
  </si>
  <si>
    <t>¡Reinicia el nivel con recursos!</t>
  </si>
  <si>
    <t>Пройти уровень с доп. ресурсами</t>
  </si>
  <si>
    <t>Recommencer le niveau avec des ressources</t>
  </si>
  <si>
    <t>not enough barracks use gem</t>
  </si>
  <si>
    <t>No hay cuarteles disponibles. ¿Quieres USAR GEMAS para realizar esta acción?</t>
  </si>
  <si>
    <t>Нет доступных казарм. Вы хотите использовать гемы, чтобы закончить работу?</t>
  </si>
  <si>
    <t>Aucune caserne disponible. Voulez vous utiliser des gemmes pour accélérer la tâche ?</t>
  </si>
  <si>
    <t>not enough worker use gem</t>
  </si>
  <si>
    <t>All workers are constructing. Do you want to use gems to finish the job?</t>
  </si>
  <si>
    <t>Todos los trabajadores están construyendo. ¿Quieres USAR GEMAS para realizar esta acción?</t>
  </si>
  <si>
    <t>Все рабочие заняты. Вы хотите использовать гемы, чтобы закончить работу?</t>
  </si>
  <si>
    <t>Tous les ouvriers sont occupés. Voulez-vous utiliser des gemmes pour accélérer la tâche ?</t>
  </si>
  <si>
    <t>already hired</t>
  </si>
  <si>
    <t>This soldier is already hired.</t>
  </si>
  <si>
    <t>이 병사는 이미 고용되었습니다.</t>
  </si>
  <si>
    <t>Этот солдат уже нанят.</t>
  </si>
  <si>
    <t>Ce soldat est déjà recruté</t>
  </si>
  <si>
    <t>fire ask</t>
  </si>
  <si>
    <t>Do you want to fire this soldier?</t>
  </si>
  <si>
    <t>¿Quieres DESPEDIR este soldado?</t>
  </si>
  <si>
    <t>Хотите убрать солдата?</t>
  </si>
  <si>
    <t>Voulez-vous renvoyer ce soldat ?</t>
  </si>
  <si>
    <t>yes</t>
  </si>
  <si>
    <t>YES</t>
  </si>
  <si>
    <t>ДА</t>
  </si>
  <si>
    <t>OUI</t>
  </si>
  <si>
    <t>no</t>
  </si>
  <si>
    <t>NO</t>
  </si>
  <si>
    <t>아니오</t>
  </si>
  <si>
    <t>НЕТ</t>
  </si>
  <si>
    <t>NON</t>
  </si>
  <si>
    <t>new soldiers</t>
  </si>
  <si>
    <t>New soldiers are arriving</t>
  </si>
  <si>
    <t>새로운 용병 등장까지 남은시간</t>
  </si>
  <si>
    <t>Прибывают новые солдаты</t>
  </si>
  <si>
    <t>Nouveaux soldats</t>
  </si>
  <si>
    <t>deck</t>
  </si>
  <si>
    <t>DECK</t>
  </si>
  <si>
    <t>덱</t>
  </si>
  <si>
    <t>КОЛОДА</t>
  </si>
  <si>
    <t>PONT</t>
  </si>
  <si>
    <t>inventory</t>
  </si>
  <si>
    <t>INVENTORY</t>
  </si>
  <si>
    <t>인벤토리</t>
  </si>
  <si>
    <t>ИНВЕНТАРЬ</t>
  </si>
  <si>
    <t>INVENTAIRE</t>
  </si>
  <si>
    <t>inventory full</t>
  </si>
  <si>
    <t>Not enough space in Inventory</t>
  </si>
  <si>
    <t>인벤토리에 공간이 부족합니다</t>
  </si>
  <si>
    <t>Нет места в Инвентаре</t>
  </si>
  <si>
    <t>Votre inventaire est plein</t>
  </si>
  <si>
    <t>refresh</t>
  </si>
  <si>
    <t>새로고침</t>
  </si>
  <si>
    <t>Обновить</t>
  </si>
  <si>
    <t>Actualiser</t>
  </si>
  <si>
    <t>surrender</t>
  </si>
  <si>
    <t>Surrender</t>
  </si>
  <si>
    <t>Сдаться</t>
  </si>
  <si>
    <t>Abandonner</t>
  </si>
  <si>
    <t>next match</t>
  </si>
  <si>
    <t>Next opponent</t>
  </si>
  <si>
    <t>Próximo oponente</t>
  </si>
  <si>
    <t>Следующий соперник</t>
  </si>
  <si>
    <t>Opposant suivant</t>
  </si>
  <si>
    <t>select ground to place soldiers</t>
  </si>
  <si>
    <t>Pressing empty ground will start the battle</t>
  </si>
  <si>
    <t>Para iniciar la batalla, presiona un espacio vacío</t>
  </si>
  <si>
    <t>Нажатие на пустой участок начнет битву</t>
  </si>
  <si>
    <t>Appuyer sur un emplacement vide lance la bataille</t>
  </si>
  <si>
    <t>not enough soliders</t>
  </si>
  <si>
    <t>There is no soldier to attack.</t>
  </si>
  <si>
    <t>Здесь нет солдат для атаки.</t>
  </si>
  <si>
    <t>Aucun soldat à attaquer</t>
  </si>
  <si>
    <t>revenge</t>
  </si>
  <si>
    <t>Revenge</t>
  </si>
  <si>
    <t>반격</t>
  </si>
  <si>
    <t>Отомстить</t>
  </si>
  <si>
    <t>Revanche</t>
  </si>
  <si>
    <t>defence record</t>
  </si>
  <si>
    <t>Defence record</t>
  </si>
  <si>
    <t>방어 기록</t>
  </si>
  <si>
    <t>Registro de defensa</t>
  </si>
  <si>
    <t>Запись обороны</t>
  </si>
  <si>
    <t>Record de défense</t>
  </si>
  <si>
    <t>top rank</t>
  </si>
  <si>
    <t>Top rank</t>
  </si>
  <si>
    <t>Mejor rango</t>
  </si>
  <si>
    <t>Топовый ранг</t>
  </si>
  <si>
    <t>Meilleur rang</t>
  </si>
  <si>
    <t>visit</t>
  </si>
  <si>
    <t>VISIT</t>
  </si>
  <si>
    <t>ВИЗИТ</t>
  </si>
  <si>
    <t>VISITER</t>
  </si>
  <si>
    <t>sound</t>
  </si>
  <si>
    <t>Sound</t>
  </si>
  <si>
    <t>Звук</t>
  </si>
  <si>
    <t>Son</t>
  </si>
  <si>
    <t>receive</t>
  </si>
  <si>
    <t>Receive</t>
  </si>
  <si>
    <t>받기</t>
  </si>
  <si>
    <t>Получение</t>
  </si>
  <si>
    <t>Recevoir</t>
  </si>
  <si>
    <t>day 1</t>
  </si>
  <si>
    <t>Day 1</t>
  </si>
  <si>
    <t>День 1</t>
  </si>
  <si>
    <t>Jour 1</t>
  </si>
  <si>
    <t>24 hours</t>
  </si>
  <si>
    <t>24 часа</t>
  </si>
  <si>
    <t>24 heures</t>
  </si>
  <si>
    <t>6 hours</t>
  </si>
  <si>
    <t>6 часов</t>
  </si>
  <si>
    <t>6 heures</t>
  </si>
  <si>
    <t>Prevent losing resources</t>
  </si>
  <si>
    <t>¡Evita que se pierdan recursos!</t>
  </si>
  <si>
    <t>Предотвратить потерю ресурсов</t>
  </si>
  <si>
    <t>Évite la perte de ressources</t>
  </si>
  <si>
    <t>expired</t>
  </si>
  <si>
    <t>Expired</t>
  </si>
  <si>
    <t>Expirado</t>
  </si>
  <si>
    <t>Просрочено</t>
  </si>
  <si>
    <t>Expiré</t>
  </si>
  <si>
    <t>daily mission 0</t>
  </si>
  <si>
    <t>Win an Arena battle</t>
  </si>
  <si>
    <t>아레나 전투 승리</t>
  </si>
  <si>
    <t>Gana una BATALLA EN ARENA</t>
  </si>
  <si>
    <t>Выиграйте битву на Арене</t>
  </si>
  <si>
    <t>Gagner une bataille dans l'arène</t>
  </si>
  <si>
    <t>daily mission 1</t>
  </si>
  <si>
    <t>Win a CAMPAIGN</t>
  </si>
  <si>
    <t>Gana una CAMPAÑA</t>
  </si>
  <si>
    <t>Выиграйте КАМПАНИЮ</t>
  </si>
  <si>
    <t>Gagner une campagne</t>
  </si>
  <si>
    <t>daily mission 2</t>
  </si>
  <si>
    <t>Win a network battle</t>
  </si>
  <si>
    <t>Gana una BATALLA ONLINE</t>
  </si>
  <si>
    <t>Выиграйте сетевую битву</t>
  </si>
  <si>
    <t>Gagner une bataille en ligne</t>
  </si>
  <si>
    <t>daily mission 3</t>
  </si>
  <si>
    <t>Win a local battle</t>
  </si>
  <si>
    <t>Gana una BATALLA LOCAL</t>
  </si>
  <si>
    <t>Выиграйте локальную битву</t>
  </si>
  <si>
    <t>Gagner une bataille locale</t>
  </si>
  <si>
    <t>network battle</t>
  </si>
  <si>
    <t>Network battle</t>
  </si>
  <si>
    <t>Batalla Online</t>
  </si>
  <si>
    <t>Сетевая битва</t>
  </si>
  <si>
    <t>Bataille en ligne</t>
  </si>
  <si>
    <t>local battle</t>
  </si>
  <si>
    <t>Local battle</t>
  </si>
  <si>
    <t>로컬 전투</t>
  </si>
  <si>
    <t>Batalla Local</t>
  </si>
  <si>
    <t>Локальная битва</t>
  </si>
  <si>
    <t>Bataille locale</t>
  </si>
  <si>
    <t>challenge</t>
  </si>
  <si>
    <t>Challenge</t>
  </si>
  <si>
    <t>Desafío</t>
  </si>
  <si>
    <t>Вызов</t>
  </si>
  <si>
    <t>Défi</t>
  </si>
  <si>
    <t>daily mission</t>
  </si>
  <si>
    <t>Daily mission</t>
  </si>
  <si>
    <t>Ежедневн. миссии</t>
  </si>
  <si>
    <t>Mission journalière</t>
  </si>
  <si>
    <t>daily reward</t>
  </si>
  <si>
    <t>Daily reward</t>
  </si>
  <si>
    <t>Ежедневн. награды</t>
  </si>
  <si>
    <t>Récompense journalière</t>
  </si>
  <si>
    <t>special offer</t>
  </si>
  <si>
    <t>Special offer</t>
  </si>
  <si>
    <t>특별 상품</t>
  </si>
  <si>
    <t>Спецпредложение</t>
  </si>
  <si>
    <t>Offre spéciale</t>
  </si>
  <si>
    <t>ask special offer last</t>
  </si>
  <si>
    <t>Special offer expired. It is the last chance. Do you want to see the items?</t>
  </si>
  <si>
    <t>특별 상품 제공 시간이 다 되었습니다. 마지막 기회입니다. 확인해보시겠습니까?</t>
  </si>
  <si>
    <t>La oferta especial ha expirado. ¡Es tu última oportunidad! Quieres VER LOS OBJETOS?</t>
  </si>
  <si>
    <t>Спецпредложение истекает. Это последний шанс. Хотите посмотреть предметы?</t>
  </si>
  <si>
    <t>Offre spéciale expirée. C'est la dernière chance. Voulez vous voir les objets ?</t>
  </si>
  <si>
    <t>upgrade castle alert</t>
  </si>
  <si>
    <t>Unit's level can't exceed the castle's level.</t>
  </si>
  <si>
    <t>El NIVEL DE LA UNIDAD no puede pasarse del NIVEL DEL CASTILLO.</t>
  </si>
  <si>
    <t>Ур. юнита не может быть выше ур. замка.</t>
  </si>
  <si>
    <t>Le niveau des unités ne peut dépasser celui du château.</t>
  </si>
  <si>
    <t>max level alert</t>
  </si>
  <si>
    <t>Your already have reached the max level.</t>
  </si>
  <si>
    <t>Ya has alcanzado el nivel máximo.</t>
  </si>
  <si>
    <t>Вы достигли макс. уровня.</t>
  </si>
  <si>
    <t>Vous avez atteint le niveau maximum.</t>
  </si>
  <si>
    <t>last chance</t>
  </si>
  <si>
    <t>Last chance</t>
  </si>
  <si>
    <t>¡Ultima oportunidad!</t>
  </si>
  <si>
    <t>Последний шанс</t>
  </si>
  <si>
    <t>Dernière chance</t>
  </si>
  <si>
    <t>single play</t>
  </si>
  <si>
    <t>Single Play</t>
  </si>
  <si>
    <t>Un Jugador</t>
  </si>
  <si>
    <t>Одиночная Игра</t>
  </si>
  <si>
    <t>Jeu solo</t>
  </si>
  <si>
    <t>multi play</t>
  </si>
  <si>
    <t>Multi Play</t>
  </si>
  <si>
    <t>Multijugador</t>
  </si>
  <si>
    <t>Мульти-Игра</t>
  </si>
  <si>
    <t>Jeu multijoueur</t>
  </si>
  <si>
    <t>find match</t>
  </si>
  <si>
    <t>Find Match</t>
  </si>
  <si>
    <t>상대 찾기</t>
  </si>
  <si>
    <t>Найти</t>
  </si>
  <si>
    <t>Trouver une partie</t>
  </si>
  <si>
    <t>gem</t>
  </si>
  <si>
    <t>Gem</t>
  </si>
  <si>
    <t>GEMA</t>
  </si>
  <si>
    <t>Гемы</t>
  </si>
  <si>
    <t>Gemme</t>
  </si>
  <si>
    <t>or</t>
  </si>
  <si>
    <t>Or</t>
  </si>
  <si>
    <t>Или за</t>
  </si>
  <si>
    <t>Ou</t>
  </si>
  <si>
    <t>shop</t>
  </si>
  <si>
    <t>Shop</t>
  </si>
  <si>
    <t>상점</t>
  </si>
  <si>
    <t>TIENDA</t>
  </si>
  <si>
    <t>Магазин</t>
  </si>
  <si>
    <t>Magasin</t>
  </si>
  <si>
    <t>log</t>
  </si>
  <si>
    <t>Log</t>
  </si>
  <si>
    <t>Журнал</t>
  </si>
  <si>
    <t>Connexion</t>
  </si>
  <si>
    <t>daily</t>
  </si>
  <si>
    <t>Daily</t>
  </si>
  <si>
    <t>일일 보상</t>
  </si>
  <si>
    <t>Ежедневн.</t>
  </si>
  <si>
    <t>Journalier</t>
  </si>
  <si>
    <t>info</t>
  </si>
  <si>
    <t>Info</t>
  </si>
  <si>
    <t>Información</t>
  </si>
  <si>
    <t>Инфо</t>
  </si>
  <si>
    <t>Information</t>
  </si>
  <si>
    <t>training</t>
  </si>
  <si>
    <t>Training</t>
  </si>
  <si>
    <t>Entrenamiento</t>
  </si>
  <si>
    <t>Тренинг</t>
  </si>
  <si>
    <t>Entraînement</t>
  </si>
  <si>
    <t>cut</t>
  </si>
  <si>
    <t>Cut</t>
  </si>
  <si>
    <t>베기</t>
  </si>
  <si>
    <t>Обрезка</t>
  </si>
  <si>
    <t>Couper</t>
  </si>
  <si>
    <t>upgrade</t>
  </si>
  <si>
    <t>Upgrade</t>
  </si>
  <si>
    <t>Улучшение</t>
  </si>
  <si>
    <t>Amélioration</t>
  </si>
  <si>
    <t>complete</t>
  </si>
  <si>
    <t>Complete</t>
  </si>
  <si>
    <t>완료</t>
  </si>
  <si>
    <t>Завершение</t>
  </si>
  <si>
    <t>Terminé</t>
  </si>
  <si>
    <t>buy only once</t>
  </si>
  <si>
    <t>You can buy this item only once.</t>
  </si>
  <si>
    <t>이 상품은 한 번만 구매 가능합니다.</t>
  </si>
  <si>
    <t>Solo puedes comprar esto una vez.</t>
  </si>
  <si>
    <t>Вы можете приобрести это только один раз.</t>
  </si>
  <si>
    <t>Vous ne pouvez acheter cet objet qu'une seule fois.</t>
  </si>
  <si>
    <t>tip0</t>
  </si>
  <si>
    <t>If you double-tap a soldier, you can select all the same kind of soldiers.</t>
  </si>
  <si>
    <t>유닛을 두 번 탭하면 동일한 모든 유닛을 선택할 수 있습니다.</t>
  </si>
  <si>
    <t>Presiona dos veces un soldado, podrás seleccionar a todos los de su tipo.</t>
  </si>
  <si>
    <t>Если вы дважды нажмете на одного из солдат, то выберутся все похожие.</t>
  </si>
  <si>
    <t>Appuyez deux fois sur un soldat pour selectionner tout ceux du même type.</t>
  </si>
  <si>
    <t>gold reached max</t>
  </si>
  <si>
    <t>Upgrade the castle to store more gold.</t>
  </si>
  <si>
    <t>더 많은 금을 저장하기 위해 성 업그레이드가 필요합니다.</t>
  </si>
  <si>
    <t>MEJORA el CASTILLO para guardar mas ORO.</t>
  </si>
  <si>
    <t>Улучшите замок, чтобы хранить больше золота.</t>
  </si>
  <si>
    <t>Améliorez le château pour stocker plus d'or.</t>
  </si>
  <si>
    <t>tree reached max</t>
  </si>
  <si>
    <t>Upgrade the castle to store more lumber.</t>
  </si>
  <si>
    <t>더 많은 목재를 저장하기 위해 성을 업그레이드가 필요합니다.</t>
  </si>
  <si>
    <t>MEJORA el CASTILLO para guardar mas MADERA.</t>
  </si>
  <si>
    <t>Улучшите замок, чтобы хранить больше ресурсов.</t>
  </si>
  <si>
    <t>Améliorez le château pour stocker plus de bois.</t>
  </si>
  <si>
    <t>banned description</t>
  </si>
  <si>
    <t>Hacking has been detected. Your account will be banned. If you had any question, send email to sachoi1103@gmail.com</t>
  </si>
  <si>
    <t>해킹이 발견되었습니다. 계정이 금지됩니다. 이견이 있다면 sachoi1103@gmail.com로 이메일을 보내주세요.</t>
  </si>
  <si>
    <t>¡SE HAN DETECTADO HACKS/TRUCOS! Tu cuenta será baneado/a. ¿Preguntas? Mandale un correo a sachoi1103@gmail.com</t>
  </si>
  <si>
    <t>Обнаружен взлом/модификация! Ваш аккаунт будет забанен. По всем вопросам пишите по-английски на sachoi1103@gmail.com</t>
  </si>
  <si>
    <t>Triche détectée. Votre compte sera banni. Pour toute question, envoyez un email à sachoi1103@gmail.com</t>
  </si>
  <si>
    <t>battle tutorial 0</t>
  </si>
  <si>
    <t>Welcome to the battle mode.</t>
  </si>
  <si>
    <t>¡Bienvenido al modo batalla!</t>
  </si>
  <si>
    <t>Добро пожаловать в режим битв.</t>
  </si>
  <si>
    <t>Bienvenue dans le mode bataille</t>
  </si>
  <si>
    <t>battle tutorial 1</t>
  </si>
  <si>
    <t>You can collect gold from the mine. It produces gold automatically. So don't forget to visit and collect gold.</t>
  </si>
  <si>
    <t>Puedes recolectar ORO en la MINA. Produce ORO automaticamente. ¡Visitala y recolecta ORO de vez en cuando!</t>
  </si>
  <si>
    <t>Вы можете собирать золото из шахты. Оно добывается автоматически, так что не забывайте заглядывать туда для сбора добычи.</t>
  </si>
  <si>
    <t>Vous pouvez obtenir de l'or en minant. La mine produit de l'or automatiquement. N'oubliez pas de venir le récupérer.</t>
  </si>
  <si>
    <t>battle tutorial 2</t>
  </si>
  <si>
    <t>Recoge MADERA cortando los ARBOLES. Construye un ASERRADERO para mas MADERA.</t>
  </si>
  <si>
    <t>Вы можете собирать древесину, вырубая деревья. Постройте лесопилку для большей добычи ресурсов.</t>
  </si>
  <si>
    <t>Vous pouvez récolter du bois en coupant des arbres. Consruisez une scierie pour stocker plus de bois.</t>
  </si>
  <si>
    <t>battle tutorial 3</t>
  </si>
  <si>
    <t>If you have enough resources, then build Barracks to hire soldiers.</t>
  </si>
  <si>
    <t>Si tienes los suficientes recursos, construye CUARTELES para contratar SOLDADOS</t>
  </si>
  <si>
    <t>При достаточном кол-ве ресурсов вы можете строить Казармы, чтобы нанимать солдат.</t>
  </si>
  <si>
    <t>Pour recruter des soldats, construisez des casernes avec les ressources nécessaires.</t>
  </si>
  <si>
    <t>battle tutorial 4</t>
  </si>
  <si>
    <t>Hire and upgrade your soldiers in Barracks.</t>
  </si>
  <si>
    <t>Contrata y mejora tus soldados en los CUARTELES.</t>
  </si>
  <si>
    <t>В Казармах можно нанимать и улучшать солдат.</t>
  </si>
  <si>
    <t>Recrutez et améliorez vos soldats dans les casernes.</t>
  </si>
  <si>
    <t>battle tutorial 5</t>
  </si>
  <si>
    <t>Visit the shop. You will see what you can build.</t>
  </si>
  <si>
    <t>Visita la TIENDA. Podrás ver lo que puedes construir.</t>
  </si>
  <si>
    <t>Заглядывайте в магазин. Вы увидите, что можно построить.</t>
  </si>
  <si>
    <t>Visitez le magasin pour voir les bâtiments que vous pouvez construire.</t>
  </si>
  <si>
    <t>battle tutorial 6</t>
  </si>
  <si>
    <t>You should build as many buildings as possible. It will be useful.</t>
  </si>
  <si>
    <t>¡Construye todos los edificios que puedas! Será útil.</t>
  </si>
  <si>
    <t xml:space="preserve">Чем больше построенных зданий, тем больше пользы. </t>
  </si>
  <si>
    <t>Vous devriez construire le plus de bâtiments possible, ils seront très utiles.</t>
  </si>
  <si>
    <t>battle tutorial 7</t>
  </si>
  <si>
    <t>You can move building by dragging. But you cannot move trees.</t>
  </si>
  <si>
    <t>ARRASTRA un EDIFICIO para MOVERLO. Pero no puedes MOVER los ARBOLES.</t>
  </si>
  <si>
    <t>Перемещайте постройки, перетаскивая их. Но двигать деревья нельзя.</t>
  </si>
  <si>
    <t>Vous pouvez déplacer les bâtiments en les faisant glisser. Il est impossible de déplacer les arbres.</t>
  </si>
  <si>
    <t>battle tutorial 8</t>
  </si>
  <si>
    <t>Other players can attack your village. And they can steal your resources.</t>
  </si>
  <si>
    <t>OTROS JUGADORES pueden ATACAR su ALDEA, y pueden ROBAR sus RECURSOS</t>
  </si>
  <si>
    <t>Другие игроки могут атаковать вашу деревню, при этом похищая ресурсы.</t>
  </si>
  <si>
    <t>D'autres joueurs peuvent attaquer votre village et voler vos ressources.</t>
  </si>
  <si>
    <t>battle tutorial 9</t>
  </si>
  <si>
    <t>Shield will protect your resouces from stealing.</t>
  </si>
  <si>
    <t>El ESCUDO protegerá a tus RECURSOS para que no se los ROBEN.</t>
  </si>
  <si>
    <t>Щит защитит ваши ресурсы от кражи.</t>
  </si>
  <si>
    <t>Le bouclier vous protègera de la perte de ressources.</t>
  </si>
  <si>
    <t>battle tutorial 10</t>
  </si>
  <si>
    <t>Build buildings, hire soldiers and raid other village. And win the battle!</t>
  </si>
  <si>
    <t>건물을 짓고, 병력을 고용하고 업그레이드 해서 승리를 쟁취하세요!</t>
  </si>
  <si>
    <t>CONSTRUYE EDIFICIOS, CONTRATA SOLDADOS y ATACA otras ALDEAS. ¡Y GANA la BATALLA!</t>
  </si>
  <si>
    <t>Стройте здания, нанимайте солдат и совершайте набеги на другие деревни. Выигрывайте в битвах!</t>
  </si>
  <si>
    <t>Construisez des bâtiments, recrutez des soldats et attaquez d'autres villages. Gagnez la bataille !</t>
  </si>
  <si>
    <t>battle tutorial reward</t>
  </si>
  <si>
    <t>Tutorial reward</t>
  </si>
  <si>
    <t>Recompensa del tutorial</t>
  </si>
  <si>
    <t>Награда за Обучение</t>
  </si>
  <si>
    <t>Récompense du tutoriel</t>
  </si>
  <si>
    <t>resting</t>
  </si>
  <si>
    <t>Resting</t>
  </si>
  <si>
    <t>휴식 중</t>
  </si>
  <si>
    <t>Отдых</t>
  </si>
  <si>
    <t>Repos</t>
  </si>
  <si>
    <t>attack</t>
  </si>
  <si>
    <t>Attack</t>
  </si>
  <si>
    <t>Atacar</t>
  </si>
  <si>
    <t>Атака</t>
  </si>
  <si>
    <t>Attaque</t>
  </si>
  <si>
    <t>level 10 castle required</t>
  </si>
  <si>
    <t>Level-10-Castle is required</t>
  </si>
  <si>
    <t>¡Se requiere un CASTILLO de nivel 10!</t>
  </si>
  <si>
    <t>Требуется Замок-10-Уровень</t>
  </si>
  <si>
    <t>Château niveau 10 nécessaire.</t>
  </si>
  <si>
    <t>wizard burn tree</t>
  </si>
  <si>
    <t>A wizard can destroy the trees.</t>
  </si>
  <si>
    <t>마법사는 나무를 파괴할 수 있습니다.</t>
  </si>
  <si>
    <t>Un MAGO puede DESTRUÍR los ARBOLES!</t>
  </si>
  <si>
    <t>Колдун может уничтожать деревья.</t>
  </si>
  <si>
    <t>next free pick</t>
  </si>
  <si>
    <t>NEXT FREE PICK</t>
  </si>
  <si>
    <t>다음 무료뽑기까지</t>
  </si>
  <si>
    <t>SIGUIENTE ELECCIÓN LIBRE</t>
  </si>
  <si>
    <t>СЛЕД. БЕСПЛАТНО</t>
  </si>
  <si>
    <t>stage title 2_0</t>
  </si>
  <si>
    <t>A lone journey</t>
  </si>
  <si>
    <t>Un viaje solitario...</t>
  </si>
  <si>
    <t>Одинокое странствие</t>
  </si>
  <si>
    <t>stage title 2_1</t>
  </si>
  <si>
    <t>Unexpected enemies</t>
  </si>
  <si>
    <t>Enemigos Inesperados...</t>
  </si>
  <si>
    <t>Нежданные враги</t>
  </si>
  <si>
    <t>stage title 2_2</t>
  </si>
  <si>
    <t>Distorted ally</t>
  </si>
  <si>
    <t>뒤틀린 동맹</t>
  </si>
  <si>
    <t>Aliado distorsionado</t>
  </si>
  <si>
    <t>Чужие союзники</t>
  </si>
  <si>
    <t>stage title 2_3</t>
  </si>
  <si>
    <t>Under the waterfall</t>
  </si>
  <si>
    <t>Под водопадом</t>
  </si>
  <si>
    <t>stage title 2_4</t>
  </si>
  <si>
    <t>진퇴양난</t>
  </si>
  <si>
    <t>Жертва окружения</t>
  </si>
  <si>
    <t>stage title 2_5</t>
  </si>
  <si>
    <t>Rage</t>
  </si>
  <si>
    <t>분노</t>
  </si>
  <si>
    <t>Ярость</t>
  </si>
  <si>
    <t>stage title 2_6</t>
  </si>
  <si>
    <t>Prophecy</t>
  </si>
  <si>
    <t>Пророчество</t>
  </si>
  <si>
    <t>stage title 2_7</t>
  </si>
  <si>
    <t>Public enemy</t>
  </si>
  <si>
    <t>Где все?</t>
  </si>
  <si>
    <t>stage title 2_8</t>
  </si>
  <si>
    <t>Revenger</t>
  </si>
  <si>
    <t>복수자</t>
  </si>
  <si>
    <t>Обида и Мщение</t>
  </si>
  <si>
    <t>stage title 2_9</t>
  </si>
  <si>
    <t>Destroyer</t>
  </si>
  <si>
    <t>Вести от Шпиона</t>
  </si>
  <si>
    <t>stage title 2_10</t>
  </si>
  <si>
    <t>The legend</t>
  </si>
  <si>
    <t>Легенда</t>
  </si>
  <si>
    <t>stage title 2_11</t>
  </si>
  <si>
    <t>Resurrection</t>
  </si>
  <si>
    <t>Воскрешение</t>
  </si>
  <si>
    <t>stage title story 2_0</t>
  </si>
  <si>
    <t>Khalan derrotó a Newman en la última batalla.Sin embargo, no fue fácil atrapar a los duendes furtivos. Khalan lo sabía. Si no lo atrapa ahora, pronto tendrá lugar otra guerra. Entonces decidió atrapar a Newman y dejó su camino para atraparlo, solo.</t>
  </si>
  <si>
    <t>Халан победил Ньюмана в последнем сражении. Было нелегко захватить подлых гоблинов, но Халан знал: если не захватить всех сейчас, начнется еще одна война. Поэтому он пришел к мысли схватить одного - самого главного - Ньюмана.</t>
  </si>
  <si>
    <t>stage title story 2_1</t>
  </si>
  <si>
    <t>The enemies we encountered while pursuing Newman were not mere robbers. Newman had secured a break-out in case he failed in the war. It was an enemy but I could not help feeling awe. However, he could not forgive him for threatening both Orc and Human. He started chasing Newman along the trail again.</t>
  </si>
  <si>
    <t>뉴먼을 쫓는 중에 마주친 적들은 단순한 강도들이 아니었다. 뉴먼은 전쟁에서 실패했을 경우를 대비해 탈주로를 확보해 두었던 것이다. 적이지만 경외감을 느끼지 않을 수 없었다. 하지만 오크와 휴먼을 모두 위협하는 그를 용서할 수는 없는 노릇이었다. 그는 다시 흔적을 따라 뉴먼을 쫓기 시작했다.</t>
  </si>
  <si>
    <t>Те, с кем мы столкнулись, были не просто грабителями. Ньюман позаботился о защите на случай провала на войне. Да, это были враги, но мы не испугались. Однако нельзя было простить угрозы в адрес Орка и Человека. Преследование Ньюмана должно продолжаться.</t>
  </si>
  <si>
    <t>stage title story 2_2</t>
  </si>
  <si>
    <t>Khalan encountered a large army while pursuing Newman. It was too large a force to be prepared for the failure of the war. It must have formed a partnership with the nearby Neutral tribe. They are innocent tribes, but he could not avoid this battle to prevent further damage in the future.</t>
  </si>
  <si>
    <t>칼란은 뉴먼을 쫓는 중에 대규모 군대와 마주쳤다. 전쟁의 실패를 대비했다고 하기엔 너무 큰 규모의 병력이었다. 인근의 중립 부족과 협력관계를 맺은 것임에 틀림없다. 그들은 죄없는 부족이지만 더 미래에 있을 큰 피해를 막기위해 그는 이 전투를 피할 수 없었다.</t>
  </si>
  <si>
    <t>Преследуя Ньюмана, Халан столкнулся с большой армией. Их было слишком много, дать отпор - большой риск. Видимо, Ньюман объединился с соседним племенем. Они ни в чем не виноваты перед Халаном, но было необходимо бороться с ними, чтобы избежать потерь в будущем.</t>
  </si>
  <si>
    <t>stage title story 2_3</t>
  </si>
  <si>
    <t>Khalan wins the battle with the Neutral tribe and arrives at the waterfall. And he was able to meet elite soldiers who escorted Newman there. Their energy, which seemed to be the last, felt Khalan. Khalan also felt that this would be a tough battle.</t>
  </si>
  <si>
    <t>칼란은 중립 부족과의 전투에서 승리하고 어느 폭포 앞에 도착하였다. 그리고 그는 그곳에서 뉴먼을 호위하던 엘리트 병사들를 만날 수 있었다. 이곳이 마지막이라는 듯한 그들의 기운이 칼란에게까지 느껴졌다. 칼란도 이번 만큼은 힘든 전투가 될것임을 직감했다.</t>
  </si>
  <si>
    <t>Халан побеждает Нейтральное племя и подбирался к водопаду. Вдруг он встретил элитных воинов, которые сопровождают Ньюмана. Те, завидев противника, осознали, какую опасность представляет из себя Халан. Халан же тоже почувствовал, что это будет тяжелая битва.</t>
  </si>
  <si>
    <t>stage title story 2_4</t>
  </si>
  <si>
    <t>Khalan, who poured all his strength into battle with elite soldiers, was hardly even standing on two legs. But Khalan, who was convinced that Newman was hiding over the falls, could not afford to rest. But soon another soldier blocked his exit. And when Khalan realized that all this was a trap, it was already too late.</t>
  </si>
  <si>
    <t>엘리트 병사들과의 전투에서 모든 힘을 쏟아버린 칼란은 두 다리로 서있는 것 조차 힘겨웠다. 하지만 저 폭포 너머에 뉴먼이 숨어있을 것이라 확신한 칼란은 휴식을 취할 여유가 없었다. 하지만 곧 다른 병사들에 의해 퇴로가 막혔다. 그리고 칼란이 이 모든 것이 함정이라는 것을 알아차렸을 땐 이미 너무 늦은 뒤였다.</t>
  </si>
  <si>
    <t>Халан, потративший все свои силы на борьбу с элитными воинами, едва стоял на ногах. Но он был уверен, что Ньюман прячется где-то у водопада, и не мог позволить себе отходнуть. Вскоре выход ему заблокировал еще один воин, но когда Халан понял, что это ловушка, было уже слишком поздно.</t>
  </si>
  <si>
    <t>stage title story 2_5</t>
  </si>
  <si>
    <t>Khalan, who survived dramatically with the help of Adun, realized by watching the waterfall. The defeat of Newman in the Allies' Great Battle was also part of the plan for this trap. And how many lives had to be sacrificed for this great trap. Khalan, in anger, jumped into the waterfall and rushed to Newman, where he was waiting for Khalan.</t>
  </si>
  <si>
    <t>아둔의 도움으로 극적으로 살아남은 칼란은 폭포를 보면서 깨달았다. 연합군의 대전투에서 뉴먼이 패배했던 것 역시 이 함정을 위한 계획의 일부였음을. 그리고 이 알량한 함정 하나를 위해 얼마나 많은 생명들이 희생되어야 했는지를. 분노에 찬 칼란은 폭포를 향해 뛰어들었고 그곳에서 칼란을 기다리고 있는 뉴먼을 향해 돌진했다.</t>
  </si>
  <si>
    <t>Халан, драматично выживший не без помощи Адуна, собрался, размышляя о водопаде. Поражение Ньюмана в Великой Битве было намеренным, и все для этой ловушки. Сколько жизней было потрачено зря, и все для нее. Халан в гневе бросился к водопаду и хотел уже схватить Ньюмана, когда тот уже ждал его.</t>
  </si>
  <si>
    <t>stage title story 2_6</t>
  </si>
  <si>
    <t>Newman who waited in the waterfall was a fake. It was not clear whether it was his ability or the ability of another shaman. The important thing is that this can be another trap. Khalan had to think about the next act as soon as possible to avoid having another victim. At that very moment, a little child hiding behind the rock approached Khalan and told him about where Newman was. And he told me what Newman said about the prophecy.</t>
  </si>
  <si>
    <t>폭포 안에서 기다리던 뉴먼은 가짜였다. 그것이 그의 능력인지 혹은 다른 주술사의 능력인지는 확실하지 않았다. 중요한 건 이것이 또 다른 함정일 수 있다는 것. 칼란은 또 다른 희생자를 낳지 않기 위해 최대한 빠르게 다음 행동을 생각해야 했다. 바로 그 때 바위 뒤에 숨어있던 어린 아이가 칼란에게 다가와 뉴먼의 행방에 대해 알려주었다. 그리고 뉴먼이 예언에 관해 말했던 사실도 말해주었다.</t>
  </si>
  <si>
    <t>Ньюман, который стоял у водопада, оказался ненастоящим. Было неясно, сделал это сам Ньюман или здешний шаман. Халан был озадачен, но нужно было что-то предпринять, и как можно скорее. Неожиданно к нему вышел спрятавшийся за скалой ребенок. Он сообщил Халану, где теперь Ньюман, и что он рассказывал о пророчестве.</t>
  </si>
  <si>
    <t>stage title story 2_7</t>
  </si>
  <si>
    <t>Khalan was able to find Newman's trail in the direction the little boy was pointing. There was no prepared force. Newman also seemed to have failed to predict that the trap would fail. However, because of the battle with the Neutral tribe that had taken place in the past, Khalan was already treated as the greatest enemy in this area.</t>
  </si>
  <si>
    <t>칼란은 그 어린 아이가 가리킨 방향에서 뉴먼의 흔적을 찾을 수 있었다. 준비된 병력은 없었다. 뉴먼 역시 그 함정까지 실패할 것이라고 예상하지 못했던 듯 하다. 하지만 일전에 치뤘던 중립 부족과의 전투 때문에 칼란은 이미 이 일대에서의 최대의 적으로 취급되고 있었다.</t>
  </si>
  <si>
    <t>Халан пошел по следам Ньюмана в том направлении, что указал ему добрый мальчик. Нигде не было видно врагов. Похоже, Ньюман не ожидал, что Халан выживет. В любом случае, после битвы с Нейтральным племенем, Халан мог считать себя величайшим воином. Ничто и никто не может дать ему отпор.</t>
  </si>
  <si>
    <t>stage title story 2_8</t>
  </si>
  <si>
    <t>The battle with the Neutral tribe was fierce. However, most of the tribes dropped the blade for Khalan as a testimony of the child he met at the waterfall. It was only a short time for Khalan to be relieved. In the last battle, the army led by the one who lost his brother and his parents blocked the way of Caran.</t>
  </si>
  <si>
    <t>중립 부족과의 전투는 치열했다. 하지만 폭포에서 만난 아이의 증언으로 부족 대부분은 칼란을 향한 칼날을 내려놓았다. 칼란이 안도할 수 있는 시간도 잠시 뿐이었다. 지난 전투에서 형제와 부모를 잃은 자가 이끄는 군대가 칼란의 앞길을 가로막았다.</t>
  </si>
  <si>
    <t>Да, битва с Нейтральным племенем была ожесточенной. Большинство племен решили вернуть Халану клинок того ребенка из водопада. Халану нужно было немного времени, чтобы успокоиться. В последнем сражении, армия, во главе с тем, кто убил его брата и родителей, закрыла Путь Карана.</t>
  </si>
  <si>
    <t>stage title story 2_9</t>
  </si>
  <si>
    <t>Khalan had thought that too much life had been sacrificed in the war to stop Newman. But that was only a moment. The secret agent sent by Adun came back with bad news. It was news that Newman was trying to resurrect the legendary Devil. Adun could not believe the story. But as soon as he heard the news, Khalan gave his army an order to advance.</t>
  </si>
  <si>
    <t>칼란은 뉴먼을 막기위해 치르는 전쟁에서 너무 많은 생명이 희생되었다는 생각을 하고 있었다. 하지만 그런 생각도 잠시 뿐이었다. 아둔이 보낸 첩보원이 돌아와 좋지 않은 소식을 전해왔다. 그것은 뉴먼이 전설속의 마왕을 부활시키려 한다는 소식이었다. 아둔은 그 이야기를 믿을 수 없었다. 하지만 칼란은 그 소식을 접하자마자 그의 군대에게 진격 명령을 내렸다.</t>
  </si>
  <si>
    <t>... Слишком много жертв было на войне, и все чтобы остановить Ньюмана. Халан задумался об этом лишь на мгновение, как вдруг появился тайный агент, посланный Адуном, вернувшийся с плохими новостями. Агент Адуна сообщил, что Ньюман хочет воскресить легендарного Дьявола. Адун не верил своим ушам. Халан же решительно отдал приказ своей армии отправляться туда.</t>
  </si>
  <si>
    <t>stage title story 2_10</t>
  </si>
  <si>
    <t>Khalan told the truth to Adun. All the fables about the devil that were passed on to the humans were all true. There were human, orc and warriors of the Elves beside the goddess who sealed the devil a thousand years ago. But in that war, two of the four goddesses perished. After a thousand years, the devil will soon be resurrected. But there was still 3 years. Human and Elf decided to use weapons of the immortal goddess to make weapons capable of damaging the devil, while Orc promised to keep the sealed place of the devil. And Khalan was convinced that Newman was heading there.</t>
  </si>
  <si>
    <t>칼란은 아둔에게 진실을 말했다. 휴먼들에게 전해져오는 마왕의 관한 우화는 모두 사실이었다. 천년 전 마왕을 봉인한 여신의 곁에는 휴먼과 오크 그리고 엘프족의 전사들이 있었다. 그러나 그 전쟁에서 4명의 여신 중 2명의 여신이 영멸했다. 다시 천년이 지나 이제 곧 마왕이 다시 부활하게 된다. 하지만 아직 3년이란 시간이 남아있었다. 휴먼과 엘프는 영멸한 여신의 무기를 사용해 마왕에게 피해를 줄 수 있는 무기를 만들기로 했고 오크는 그 사이 마왕이 봉인된 장소를 지키기로 약속했다. 그리고 칼란은 뉴먼이 그곳으로 향하고 있을 것이라 확신했다.</t>
  </si>
  <si>
    <t>Халан рассказал все Адуну. Все те байки о дьяволе, все легенды рассказанные людям - все правда. ...Все люди, орки и эльфы-воины видели, как великие богини заточили Дьявола тысячу лет назад. В той битве две из четырех богинь погибли. Через тысячу лет Дьявол должен был воскреснуть вновь. Прошло три года. Человек и Эльф решили использовать оружие бессмертной богини, чтобы создать то, что способно уничтожить Дьявола, а Орк поклялся охранять место, где был заключен Дьявол. ...Халан был уверен, что Ньюман направился именно туда.</t>
  </si>
  <si>
    <t>stage title story 2_11</t>
  </si>
  <si>
    <t>After the battle with the orcs who had lost their temper in the aftermath of the sealed devil, Khalan was able to meet Newman at the altar. Although Humans and the elves may remember the promise of a thousand years ago, Khalan could not give up the fate of the Orcs. In fact, Khaland was not convinced that the story of the devil was true. But Khalan had to stop the Newman in front of his eyes. Before he made another mistake.</t>
  </si>
  <si>
    <t>봉인된 마왕의 여파로 이성을 잃은 오크들과의 전투 끝에 칼란은 제단에서 뉴먼을 만날 수 있었다. 천년 전의 약속을 휴먼과 엘프가 기억하고 있을지는 모르지만 칼란은 전해져오는 오크의 대업을 포기할 수 없었다. 사실 칼란도 그 마왕에 관한 이야기가 진실인지에 대한 확신은 없었다. 다만 칼란은 눈 앞에 있는 뉴먼이란 자를 멈춰야 했다. 그가 또 다른 실수를 하기 전에.</t>
  </si>
  <si>
    <t>После битвы с разъяренными орками, обезумевшими от скорого освобождения Дьявола, Халану наконец удалось встретиться с Ньюманом у алтаря. Хоть Человек и Эльф должны помнить об обещании мира со всеми, данном тысячу лет назад, Халан не мог не отомстить Оркам за все. ...На самом деле, Халан не был полностью убежден, что все, что говаривали о Дьяволе - правда... Халан набросился на Ньюмана на глазах у всех. Прежде, чем совершить еще одну ошибку...</t>
  </si>
  <si>
    <t>khalan</t>
  </si>
  <si>
    <t>칼란</t>
  </si>
  <si>
    <t>Халан</t>
  </si>
  <si>
    <t>forum</t>
  </si>
  <si>
    <t>Forum</t>
  </si>
  <si>
    <t>네이버 카페</t>
  </si>
  <si>
    <t>Форум</t>
  </si>
  <si>
    <t>chapter unlock condition</t>
  </si>
  <si>
    <t>You need to complete all previous chapters.</t>
  </si>
  <si>
    <t>이전의 모든 챕터를 완료해야합니다.</t>
  </si>
  <si>
    <t>Вы должны завершить все предыдущие главы.</t>
  </si>
  <si>
    <t>Vous devez terminer tous les chapitres précèdents.</t>
  </si>
  <si>
    <t>do not use special character</t>
  </si>
  <si>
    <t>A special text is not allowed.</t>
  </si>
  <si>
    <t>Особый текст не допускается.</t>
  </si>
  <si>
    <t>Les caractères spéciaux ne sont pas autorisés.</t>
  </si>
  <si>
    <t>worker condition 0</t>
  </si>
  <si>
    <t>Lucky day</t>
  </si>
  <si>
    <t>Счастливый день</t>
  </si>
  <si>
    <t>Jour de chance</t>
  </si>
  <si>
    <t>worker condition 1</t>
  </si>
  <si>
    <t>Finish the first chapter</t>
  </si>
  <si>
    <t>Пройдите первую главу</t>
  </si>
  <si>
    <t>Finissez le premier chapitre</t>
  </si>
  <si>
    <t>worker condition 2</t>
  </si>
  <si>
    <t>Win the arena for 20 times</t>
  </si>
  <si>
    <t>아레나에서 20번 승리</t>
  </si>
  <si>
    <t>Победите на арене 20 раз</t>
  </si>
  <si>
    <t>Gagnez 20 fois dans l'arène</t>
  </si>
  <si>
    <t>worker condition 3</t>
  </si>
  <si>
    <t>Finish the episode orc</t>
  </si>
  <si>
    <t>Пройдите эпизод об Орке</t>
  </si>
  <si>
    <t>Terminez l'épisode 'Orc'</t>
  </si>
  <si>
    <t>gold text</t>
  </si>
  <si>
    <t>Gold</t>
  </si>
  <si>
    <t>금</t>
  </si>
  <si>
    <t>Oro</t>
  </si>
  <si>
    <t>Золото</t>
  </si>
  <si>
    <t>lumber text</t>
  </si>
  <si>
    <t>Lumber</t>
  </si>
  <si>
    <t>나무</t>
  </si>
  <si>
    <t>Madera</t>
  </si>
  <si>
    <t>Древесина</t>
  </si>
  <si>
    <t>Bois</t>
  </si>
  <si>
    <t>produced unit</t>
  </si>
  <si>
    <t>Produced Unit</t>
  </si>
  <si>
    <t>Unidades producidas</t>
  </si>
  <si>
    <t>Юнит Готов</t>
  </si>
  <si>
    <t>Unités produites</t>
  </si>
  <si>
    <t>killed unit</t>
  </si>
  <si>
    <t>Killed Unit</t>
  </si>
  <si>
    <t>제거한 유닛</t>
  </si>
  <si>
    <t>Unidades eliminadas</t>
  </si>
  <si>
    <t>Юнит Убит</t>
  </si>
  <si>
    <t>Unités tuées</t>
  </si>
  <si>
    <t>failed to find match</t>
  </si>
  <si>
    <t>Failed to find an opponent. Try it again, later.</t>
  </si>
  <si>
    <t>Не удалось найти. Попробуйте позже.</t>
  </si>
  <si>
    <t>Aucun opposant trouvé. Réessayez plus tard.</t>
  </si>
  <si>
    <t>tree</t>
  </si>
  <si>
    <t>Tree</t>
  </si>
  <si>
    <t>Дерево</t>
  </si>
  <si>
    <t>Arbre</t>
  </si>
  <si>
    <t>win</t>
  </si>
  <si>
    <t>WIN</t>
  </si>
  <si>
    <t>ПОБЕДА</t>
  </si>
  <si>
    <t>VICTOIRE</t>
  </si>
  <si>
    <t>used</t>
  </si>
  <si>
    <t>Used</t>
  </si>
  <si>
    <t>사용</t>
  </si>
  <si>
    <t>Usado</t>
  </si>
  <si>
    <t>Занят</t>
  </si>
  <si>
    <t>Utilisé</t>
  </si>
  <si>
    <t>earned</t>
  </si>
  <si>
    <t>Earned</t>
  </si>
  <si>
    <t>획득</t>
  </si>
  <si>
    <t>Obtenido</t>
  </si>
  <si>
    <t>Получено</t>
  </si>
  <si>
    <t>Récolté</t>
  </si>
  <si>
    <t>league</t>
  </si>
  <si>
    <t>League</t>
  </si>
  <si>
    <t>리그</t>
  </si>
  <si>
    <t>Liga</t>
  </si>
  <si>
    <t>Лига</t>
  </si>
  <si>
    <t>Ligue</t>
  </si>
  <si>
    <t>next league</t>
  </si>
  <si>
    <t>NEXT LEAGUE</t>
  </si>
  <si>
    <t>다음 리그 진출</t>
  </si>
  <si>
    <t>SIGUIENTE LIGA</t>
  </si>
  <si>
    <t>СЛЕД. ЛИГА</t>
  </si>
  <si>
    <t>PROCHAINE LIGUE</t>
  </si>
  <si>
    <t>time</t>
  </si>
  <si>
    <t>Time</t>
  </si>
  <si>
    <t>시간</t>
  </si>
  <si>
    <t>Tiempo</t>
  </si>
  <si>
    <t>Время</t>
  </si>
  <si>
    <t>Temps</t>
  </si>
  <si>
    <t>gem pack</t>
  </si>
  <si>
    <t>GEM PACK</t>
  </si>
  <si>
    <t>잼 보따리</t>
  </si>
  <si>
    <t>PAQUETE DE GEM</t>
  </si>
  <si>
    <t>НАБОР ГЕМОВ</t>
  </si>
  <si>
    <t>PACK DE GEMMES</t>
  </si>
  <si>
    <t>INFO</t>
  </si>
  <si>
    <t>정보</t>
  </si>
  <si>
    <t>ИНФО</t>
  </si>
  <si>
    <t>INFORMATION</t>
  </si>
  <si>
    <t>train</t>
  </si>
  <si>
    <t>TRAIN</t>
  </si>
  <si>
    <t>훈련</t>
  </si>
  <si>
    <t>Formación</t>
  </si>
  <si>
    <t>ТРЕНИНГ</t>
  </si>
  <si>
    <t>ENTRAINEMENT</t>
  </si>
  <si>
    <t>network fail play offline</t>
  </si>
  <si>
    <t>Failed to connect to the server. Play offline and try it later.</t>
  </si>
  <si>
    <t>서버에 접속할 수 없습니다. 잠시 오프라인 플레이 후 다시 시도해보세요.</t>
  </si>
  <si>
    <t>Falló la conexión al servidor. Juega el juego sin conexión y pruébalo más tarde.</t>
  </si>
  <si>
    <t>Не удалось подключиться. Играйте пока оффлайн или попробуйте позже.</t>
  </si>
  <si>
    <t>Connexion au serveur impossible. Réessayez plus tard.</t>
  </si>
  <si>
    <t>play colosseum</t>
  </si>
  <si>
    <t>Play arena and let others admire you</t>
  </si>
  <si>
    <t>아레나 플레이하고 나의 엄청난 실력을 확인하세요!</t>
  </si>
  <si>
    <t>Juega al Coliseo y deja que otros te admiren.</t>
  </si>
  <si>
    <t>Играйте на арене и пусть другие восхищаются вами</t>
  </si>
  <si>
    <t>Jouez dans le Colisée pour être admiré.</t>
  </si>
  <si>
    <t>drag to select</t>
  </si>
  <si>
    <t>DRAG TO SELECT</t>
  </si>
  <si>
    <t>드래그 선택</t>
  </si>
  <si>
    <t>DRAG PARA SELECCIONAR</t>
  </si>
  <si>
    <t>ПЕРЕТАЩИТЕ ДЛЯ ВЫБОРА</t>
  </si>
  <si>
    <t>GLISSEZ POUR SELECTIONNER</t>
  </si>
  <si>
    <t>name</t>
  </si>
  <si>
    <t>Nick Name</t>
  </si>
  <si>
    <t>이름</t>
  </si>
  <si>
    <t>Apodo</t>
  </si>
  <si>
    <t>Никнейм</t>
  </si>
  <si>
    <t>Pseudo</t>
  </si>
  <si>
    <t>input name</t>
  </si>
  <si>
    <t>Input your name</t>
  </si>
  <si>
    <t>이름을 입력하세요</t>
  </si>
  <si>
    <t>Ingresa tu nombre</t>
  </si>
  <si>
    <t>Введите ваше имя</t>
  </si>
  <si>
    <t>Entrez votre pseudo</t>
  </si>
  <si>
    <t>same name exist</t>
  </si>
  <si>
    <t>The name is already in use</t>
  </si>
  <si>
    <t>이미 등록된 이름입니다.</t>
  </si>
  <si>
    <t>El nombre ya está en uso.</t>
  </si>
  <si>
    <t>Такое имя уже использ.</t>
  </si>
  <si>
    <t>Ce pseudo n'est pas disponible</t>
  </si>
  <si>
    <t>name registered</t>
  </si>
  <si>
    <t>Your name is saved</t>
  </si>
  <si>
    <t>이름이 저장되었습니다.</t>
  </si>
  <si>
    <t>Tu nombre esta guardado</t>
  </si>
  <si>
    <t>Имя сохранено</t>
  </si>
  <si>
    <t>Votre pseudo est sauvegardé</t>
  </si>
  <si>
    <t>new user</t>
  </si>
  <si>
    <t>New User</t>
  </si>
  <si>
    <t>신규유저</t>
  </si>
  <si>
    <t>Nuevo usuario</t>
  </si>
  <si>
    <t>Новый Пользователь</t>
  </si>
  <si>
    <t>Nouvel utilisateur</t>
  </si>
  <si>
    <t>existing user</t>
  </si>
  <si>
    <t>Existing User</t>
  </si>
  <si>
    <t>기존유저</t>
  </si>
  <si>
    <t>Usuario existente</t>
  </si>
  <si>
    <t>Существ. Пользователь</t>
  </si>
  <si>
    <t>Utilisateur existant</t>
  </si>
  <si>
    <t>user id</t>
  </si>
  <si>
    <t>User ID</t>
  </si>
  <si>
    <t>유저ID</t>
  </si>
  <si>
    <t>ID de usuario</t>
  </si>
  <si>
    <t>ID Пользователя</t>
  </si>
  <si>
    <t>Numéro d'utilisateur</t>
  </si>
  <si>
    <t>is new user</t>
  </si>
  <si>
    <t>Are you a new user?</t>
  </si>
  <si>
    <t>신규 유저입니까?</t>
  </si>
  <si>
    <t>¿Eres un usuario nuevo?</t>
  </si>
  <si>
    <t>Вы Новый Пользователь?</t>
  </si>
  <si>
    <t>Êtes-vous un nouvel utilisateur ?</t>
  </si>
  <si>
    <t>change</t>
  </si>
  <si>
    <t>Change</t>
  </si>
  <si>
    <t>변경</t>
  </si>
  <si>
    <t>Cambio</t>
  </si>
  <si>
    <t>Изменить</t>
  </si>
  <si>
    <t>Changer</t>
  </si>
  <si>
    <t>account change</t>
  </si>
  <si>
    <t>Account Change</t>
  </si>
  <si>
    <t>계정 전환</t>
  </si>
  <si>
    <t>Cambio de cuenta</t>
  </si>
  <si>
    <t>Изменить Данные Аккаунта</t>
  </si>
  <si>
    <t>Changer de compte</t>
  </si>
  <si>
    <t>change name</t>
  </si>
  <si>
    <t>Name Change</t>
  </si>
  <si>
    <t>이름 변경</t>
  </si>
  <si>
    <t>Cambio de nombre</t>
  </si>
  <si>
    <t>Изменить Имя</t>
  </si>
  <si>
    <t>Changer de nom</t>
  </si>
  <si>
    <t>change name alert</t>
  </si>
  <si>
    <t>Don’t use bad words for your name. And report any insulting name. Here we inform you that any bad name can be changed by manager without warning.</t>
  </si>
  <si>
    <t>욕설 등의 저속어로 이름을 짓지 말아주세요. 기분 나쁜 이름을 발견하면 신고해주세요. 사용자의 눈살을 찌푸리게 만드는 이름은 운영자에 의해 경고 없이 임의의 이름으로 변경 됨을 알려 드립니다.</t>
  </si>
  <si>
    <t>No uses mala palabra para tu nombre. Y denuncie cualquier nombre insultante. Aquí le informamos que cualquier administrador puede cambiar cualquier nombre incorrecto sin previo aviso.</t>
  </si>
  <si>
    <t>Не используйте неприличные слова для никнейма. При обнаружении менеджер может заменить имя на любое другое без предупреждения. Сообщайте, если встретите непристойные имена.</t>
  </si>
  <si>
    <t>Merci de ne pas utiliser de nom offensant et de faire un rapport si vous croisez un utilisateur avec un nom offensant.</t>
  </si>
  <si>
    <t>hire</t>
  </si>
  <si>
    <t>HIRE</t>
  </si>
  <si>
    <t>고용</t>
  </si>
  <si>
    <t>Emplear</t>
  </si>
  <si>
    <t>НАНЯТЬ</t>
  </si>
  <si>
    <t>Recruter</t>
  </si>
  <si>
    <t>fire</t>
  </si>
  <si>
    <t>FIRE</t>
  </si>
  <si>
    <t>해고</t>
  </si>
  <si>
    <t>Jubilar</t>
  </si>
  <si>
    <t>ОГОНЬ</t>
  </si>
  <si>
    <t>Renvoyer</t>
  </si>
  <si>
    <t>remove from deck</t>
  </si>
  <si>
    <t>REMOVE FROM DECK</t>
  </si>
  <si>
    <t>덱에서 제거</t>
  </si>
  <si>
    <t>REMOVER desde la cubierta</t>
  </si>
  <si>
    <t>УБРАТЬ ИЗ КОЛОДЫ</t>
  </si>
  <si>
    <t>RETIRER DU</t>
  </si>
  <si>
    <t>move to deck</t>
  </si>
  <si>
    <t>MOVE TO DECK</t>
  </si>
  <si>
    <t>덱으로 이동</t>
  </si>
  <si>
    <t>Moverse a la cubierta</t>
  </si>
  <si>
    <t>ПЕРЕМ. В КОЛОДУ</t>
  </si>
  <si>
    <t>DÉPLACER DANS</t>
  </si>
  <si>
    <t>password</t>
  </si>
  <si>
    <t>Password</t>
  </si>
  <si>
    <t>비밀번호</t>
  </si>
  <si>
    <t>Contraseña</t>
  </si>
  <si>
    <t>Пароль</t>
  </si>
  <si>
    <t>Mot de passe</t>
  </si>
  <si>
    <t>confirm password</t>
  </si>
  <si>
    <t>Confirm password</t>
  </si>
  <si>
    <t>비밀번호 확인</t>
  </si>
  <si>
    <t>Confirmar contraseña</t>
  </si>
  <si>
    <t>Подтвердите Пароль</t>
  </si>
  <si>
    <t>Confirmez le mot de passe</t>
  </si>
  <si>
    <t>upgrade time</t>
  </si>
  <si>
    <t>Upgrade Time</t>
  </si>
  <si>
    <t>업그레이드 시간</t>
  </si>
  <si>
    <t>actualizar Tiempo</t>
  </si>
  <si>
    <t>Время Улучшения</t>
  </si>
  <si>
    <t>Il est temps de faire une amélioration</t>
  </si>
  <si>
    <t>UPGRADE</t>
  </si>
  <si>
    <t>업그레이드</t>
  </si>
  <si>
    <t>MEJORAR</t>
  </si>
  <si>
    <t>УЛУЧШИТЬ</t>
  </si>
  <si>
    <t>AMÉLIORER</t>
  </si>
  <si>
    <t>enemy killed</t>
  </si>
  <si>
    <t>Killed Enemy</t>
  </si>
  <si>
    <t>처지한 적</t>
  </si>
  <si>
    <t>Enemigos eliminados</t>
  </si>
  <si>
    <t>Враг Убит</t>
  </si>
  <si>
    <t>Ennemi eliminé</t>
  </si>
  <si>
    <t>your rank</t>
  </si>
  <si>
    <t>My rank</t>
  </si>
  <si>
    <t>내 순위</t>
  </si>
  <si>
    <t>Mi rango</t>
  </si>
  <si>
    <t>Мой ранг</t>
  </si>
  <si>
    <t>Mon rang</t>
  </si>
  <si>
    <t>purchase success</t>
  </si>
  <si>
    <t>PURCHASE COMPLETE</t>
  </si>
  <si>
    <t>구매 완료</t>
  </si>
  <si>
    <t>COMPRA REALIZADA</t>
  </si>
  <si>
    <t>ПОКУПКА УСПЕШНА</t>
  </si>
  <si>
    <t>ACHAT TERMINÉ</t>
  </si>
  <si>
    <t>colosseum</t>
  </si>
  <si>
    <t>ARENA</t>
  </si>
  <si>
    <t>아레나</t>
  </si>
  <si>
    <t>COLISEO</t>
  </si>
  <si>
    <t>КОЛИЗЕЙ</t>
  </si>
  <si>
    <t>COLISÉE</t>
  </si>
  <si>
    <t>top</t>
  </si>
  <si>
    <t>TOP</t>
  </si>
  <si>
    <t>상위</t>
  </si>
  <si>
    <t>Топ</t>
  </si>
  <si>
    <t>TOП</t>
  </si>
  <si>
    <t>video not available</t>
  </si>
  <si>
    <t>Video is not available now</t>
  </si>
  <si>
    <t>광고가 준비되지 않았습니다</t>
  </si>
  <si>
    <t>El video no está disponible</t>
  </si>
  <si>
    <t>Видео сейчас недоступно</t>
  </si>
  <si>
    <t>La vidéo n'est pas disponible</t>
  </si>
  <si>
    <t>ticket received</t>
  </si>
  <si>
    <t>You received a golden ticket.</t>
  </si>
  <si>
    <t>티켓이 지급되었습니다.</t>
  </si>
  <si>
    <t>Has recibido un ticket dorado</t>
  </si>
  <si>
    <t>Вы получили золотой билет.</t>
  </si>
  <si>
    <t>Vous avez reçu un ticket doré</t>
  </si>
  <si>
    <t>battle</t>
  </si>
  <si>
    <t>Battle</t>
  </si>
  <si>
    <t>배틀</t>
  </si>
  <si>
    <t>BATALLA</t>
  </si>
  <si>
    <t>Битва</t>
  </si>
  <si>
    <t>Bataille</t>
  </si>
  <si>
    <t>food provide</t>
  </si>
  <si>
    <t>Provide food</t>
  </si>
  <si>
    <t>음식 제공</t>
  </si>
  <si>
    <t>Прокормить</t>
  </si>
  <si>
    <t>Nourri</t>
  </si>
  <si>
    <t>BEGINNER</t>
  </si>
  <si>
    <t>비기너</t>
  </si>
  <si>
    <t>PRINCIPIANTE</t>
  </si>
  <si>
    <t>НОВИЧОК</t>
  </si>
  <si>
    <t>DÉBUTANT</t>
  </si>
  <si>
    <t>BRONZE</t>
  </si>
  <si>
    <t>브론즈</t>
  </si>
  <si>
    <t>BRONCE</t>
  </si>
  <si>
    <t>БРОНЗА</t>
  </si>
  <si>
    <t>SILVER</t>
  </si>
  <si>
    <t>실버</t>
  </si>
  <si>
    <t>PLATA</t>
  </si>
  <si>
    <t>СЕРЕБРО</t>
  </si>
  <si>
    <t>ARGENT</t>
  </si>
  <si>
    <t>GOLD</t>
  </si>
  <si>
    <t>골드</t>
  </si>
  <si>
    <t>ORO</t>
  </si>
  <si>
    <t>ЗОЛОТО</t>
  </si>
  <si>
    <t>OR</t>
  </si>
  <si>
    <t>PLATINUM</t>
  </si>
  <si>
    <t>플래티넘</t>
  </si>
  <si>
    <t>PLATINO</t>
  </si>
  <si>
    <t>ПЛАТИНА</t>
  </si>
  <si>
    <t>PLATINE</t>
  </si>
  <si>
    <t>DIAMOND</t>
  </si>
  <si>
    <t>다이아몬드</t>
  </si>
  <si>
    <t>DIAMANTE</t>
  </si>
  <si>
    <t>АЛМАЗ</t>
  </si>
  <si>
    <t>DIAMANT</t>
  </si>
  <si>
    <t>MASTER</t>
  </si>
  <si>
    <t>마스터</t>
  </si>
  <si>
    <t>MAESTRO</t>
  </si>
  <si>
    <t>МАСТЕР</t>
  </si>
  <si>
    <t>MAÎTRE</t>
  </si>
  <si>
    <t>GRAND MASTER</t>
  </si>
  <si>
    <t>그랜드 마스터</t>
  </si>
  <si>
    <t>GRAN MAESTRO</t>
  </si>
  <si>
    <t>ВЛАСТИТЕЛЬ</t>
  </si>
  <si>
    <t>GRAND MAÎTRE</t>
  </si>
  <si>
    <t>LEGENDARY</t>
  </si>
  <si>
    <t>전설</t>
  </si>
  <si>
    <t>LEYENDA</t>
  </si>
  <si>
    <t>ЛЕГЕНДА</t>
  </si>
  <si>
    <t>LÉGENDAIRE</t>
  </si>
  <si>
    <t>congratulations</t>
  </si>
  <si>
    <t>Congratulations</t>
  </si>
  <si>
    <t>축하합니다</t>
  </si>
  <si>
    <t>Enhorabuena</t>
  </si>
  <si>
    <t>Поздравляем</t>
  </si>
  <si>
    <t>Félicitations</t>
  </si>
  <si>
    <t>ask email</t>
  </si>
  <si>
    <t>Questions</t>
  </si>
  <si>
    <t>문의</t>
  </si>
  <si>
    <t>Вопросы</t>
  </si>
  <si>
    <t>chapter</t>
  </si>
  <si>
    <t>Chapter</t>
  </si>
  <si>
    <t>챕터</t>
  </si>
  <si>
    <t>Глава</t>
  </si>
  <si>
    <t>Chapitre</t>
  </si>
  <si>
    <t>castle desc</t>
  </si>
  <si>
    <t>군대 본부. 이 건물에서 일꾼들이 훈련합니다.</t>
  </si>
  <si>
    <t>Cuartel general del ejército. Los trabajadores pueden ser producidos en este edificio.</t>
  </si>
  <si>
    <t>Штаб армии. Здесь можно развивать рабочих.</t>
  </si>
  <si>
    <t>QG de l'armée. Sert à recruter des ouvriers.</t>
  </si>
  <si>
    <t>barbecue desc</t>
  </si>
  <si>
    <t>This is where Orcs providing food for their troop.</t>
  </si>
  <si>
    <t>Здесь Орки кормят едой свои войска.</t>
  </si>
  <si>
    <t>C'est ici que les Orcs produisent la nourriture pour leurs troupes.</t>
  </si>
  <si>
    <t>temple desc</t>
  </si>
  <si>
    <t>마법사는 여기서 훈련받을 수 있습니다. 허락없이 들어 가려고하지 마십시오.</t>
  </si>
  <si>
    <t>Los magos pueden ser entrenados aquí. No trates de entrar sin permiso.</t>
  </si>
  <si>
    <t>Здесь обучаются Колдуны. Не пытайтесь попасть туда без разрешения.</t>
  </si>
  <si>
    <t xml:space="preserve">Les mages sont entraînés dans ce bâtiment. </t>
  </si>
  <si>
    <t>farm desc</t>
  </si>
  <si>
    <t>Farm produces food. More food = More soldiers.</t>
  </si>
  <si>
    <t>농장에서 음식을 생산합니다. 더 많은 군인을 모으기 위해 더 많은 음식을 준비하십시오.</t>
  </si>
  <si>
    <t>La granja produce alimentos. Preparar más comida para reunir más soldados.</t>
  </si>
  <si>
    <t>Ферма предоставляет еду. Больше еды - больше солдат.</t>
  </si>
  <si>
    <t>Les fermes produisent de la nourriture. Plus de nourritures = plus de soldats.</t>
  </si>
  <si>
    <t>barracks desc</t>
  </si>
  <si>
    <t>Soldiers can be upgraded in this building.</t>
  </si>
  <si>
    <t>Здесь можно развивать солдат.</t>
  </si>
  <si>
    <t>Les soldats peuvent être améliorés dans ce bâtiment.</t>
  </si>
  <si>
    <t>underground bunker desc</t>
  </si>
  <si>
    <t>Defense forces are hidden in this bunker until a flare is triggered.</t>
  </si>
  <si>
    <t>신호탄이 켜질때까지 이 벙커에 방어 병력이 숨겨져 있습니다.</t>
  </si>
  <si>
    <t>La fuerza de defensa se oculta en este búnker hasta que se activó una bengala.</t>
  </si>
  <si>
    <t>Сила обороны скрыта в этом бункере, пока не сработает вспышка.</t>
  </si>
  <si>
    <t>Les forces de défense se cachent dans ce bunker jusqu'à la réception un signal</t>
  </si>
  <si>
    <t>trigger desc</t>
  </si>
  <si>
    <t>Defense force will come out from underground bunkers when this flare is triggered.</t>
  </si>
  <si>
    <t>이 플레어가 발동되면 지하 벙커에서 방어 병력이 나옵니다.</t>
  </si>
  <si>
    <t>La fuerza de defensa saldrá de búnkeres subterráneos cuando se active esta bengala.</t>
  </si>
  <si>
    <t>Сила обороны появится из подземного бункера, когда эта вспышка будет запущена.</t>
  </si>
  <si>
    <t>Les forces de défense sortiront des bunkers souterrains à la réception du signal.</t>
  </si>
  <si>
    <t>lumbermill desc</t>
  </si>
  <si>
    <t>Workers can store lumbers in this building. Processed lumbers from this building is required for building more complicated ones.</t>
  </si>
  <si>
    <t>노동자는이 건물에 목재를 저장할 수 있습니다. 그리고 이 건물에서 가공 된 목재는 더 복잡한 구조물을 만들기 위해 필요합니다.</t>
  </si>
  <si>
    <t>Los trabajadores pueden almacenar madera en este edificio. Y se requieren troncos procesados de este edificio para construir los más complicados.</t>
  </si>
  <si>
    <t>Рабочие будут хранить здесь древесину. Обработанная древесина нужна для более сложных построек.</t>
  </si>
  <si>
    <t>Les ouvriers stockent le bois dans ce bâtiment. Le bois sert à construire des bâtiments plus complexes.</t>
  </si>
  <si>
    <t>watcher tower desc</t>
  </si>
  <si>
    <t>Watcher tower will attack the intruders.</t>
  </si>
  <si>
    <t>감시탑은 침입자를 공격 할 수 있습니다.</t>
  </si>
  <si>
    <t>La torre vigía puede atacar a los intrusos.</t>
  </si>
  <si>
    <t>Сторожевые башни будут атаковать чужаков.</t>
  </si>
  <si>
    <t>Les tours de garde attaquent les intrus.</t>
  </si>
  <si>
    <t>factory desc</t>
  </si>
  <si>
    <t>Factory produces big units like a Catapult.</t>
  </si>
  <si>
    <t>공장은 투석기와 같은 큰 유닛을 생산합니다.</t>
  </si>
  <si>
    <t>Fábrica produce grandes unidades como una catapulta.</t>
  </si>
  <si>
    <t>Фабрика производит большие ед. оружия, такие как Катапульта.</t>
  </si>
  <si>
    <t>Les usines produisent des grosses unités comme des catapultes.</t>
  </si>
  <si>
    <t>airport desc</t>
  </si>
  <si>
    <t>Helicopters can be trained in this building. They need more skills than just flying.</t>
  </si>
  <si>
    <t>이 건물에서 헬리콥터를 생산할 수 있습니다. 나는 거 말고 더 공격은 못하나요?</t>
  </si>
  <si>
    <t>Se pueden producir helicópteros en este edificio. Necesitan más poder que solo volar.</t>
  </si>
  <si>
    <t>Здесь можно развивать Вертолетчиков.</t>
  </si>
  <si>
    <t>Vous pouvez fabriquer des hélicoptères dans ce bâtiment. Il faut savoir faire plus que voler pour piloter un hélicoptère.</t>
  </si>
  <si>
    <t>mine desc</t>
  </si>
  <si>
    <t>You can dig for gold in a gold mine.</t>
  </si>
  <si>
    <t>금광에서 금을 파낼 수 있습니다.</t>
  </si>
  <si>
    <t>Puedes excavar en busca de oro en una mina de oro.</t>
  </si>
  <si>
    <t>Добывайте золото в Золотой Шахте.</t>
  </si>
  <si>
    <t>Vous pouvez récolter de l'or dans une mine.</t>
  </si>
  <si>
    <t>orc hq desc</t>
  </si>
  <si>
    <t>Orc's patriarch is staying here.</t>
  </si>
  <si>
    <t>오크의 족장이 이곳에 머물러 있다</t>
  </si>
  <si>
    <t>El anciano de Orc se queda aquí.</t>
  </si>
  <si>
    <t>Старший Орк остается здесь.</t>
  </si>
  <si>
    <t>Le patriarche Orc vit ici.</t>
  </si>
  <si>
    <t>orc barracks desc</t>
  </si>
  <si>
    <t>It is the place to train Orc troops.</t>
  </si>
  <si>
    <t>오크의 병력들을 훈련시키는 곳입니다.</t>
  </si>
  <si>
    <t>Здесь готовятся войска Орков.</t>
  </si>
  <si>
    <t>Cet endroit sert à entraîner des troupes d'Orcs</t>
  </si>
  <si>
    <t>orc bunker desc</t>
  </si>
  <si>
    <t>Orc arrows fly from here. None of the humans who entered this place survived.</t>
  </si>
  <si>
    <t>오크의 화살이 이곳에서 날아옵니다. 이 안에 들어간 휴먼은 누구도 살아나오지 못했습니다.</t>
  </si>
  <si>
    <t>Las flechas orcas vuelan desde aquí. Ninguno de los humanos que entraron a este lugar sobrevivió.</t>
  </si>
  <si>
    <t>Стрелы Орков летят отсюда. Еще никто из людей не выжил в этом месте.</t>
  </si>
  <si>
    <t>Les flèches des Orcs viennent de là. Aucun Humain n'en est revenu vivant.</t>
  </si>
  <si>
    <t>orc troll house desc</t>
  </si>
  <si>
    <t>A house where a cowardly troll is living.</t>
  </si>
  <si>
    <t>겁쟁이 덩치 트롤이 살고 있는 집입니다.</t>
  </si>
  <si>
    <t>Una casa donde vive un troll cobarde.</t>
  </si>
  <si>
    <t>В этом доме живет трусливый тролль.</t>
  </si>
  <si>
    <t>Une maison où un Troll peureux vit.</t>
  </si>
  <si>
    <t>worker desc</t>
  </si>
  <si>
    <t>Workers gather gold and lumbers.</t>
  </si>
  <si>
    <t>노동자들은 금과 목재를 수집합니다.</t>
  </si>
  <si>
    <t>Los trabajadores recogen oro y madera.</t>
  </si>
  <si>
    <t>Рабочие собирают золото и древесину.</t>
  </si>
  <si>
    <t>Les ouvriers récoltent de l'or et du bois.</t>
  </si>
  <si>
    <t>swordman desc</t>
  </si>
  <si>
    <t>A swordman is a noble warrior who is fast and strong.</t>
  </si>
  <si>
    <t>검객은 빠르고 강인한 고귀한 전사입니다.</t>
  </si>
  <si>
    <t>Espadachín es noble guerrero que es rápido y fuerte.</t>
  </si>
  <si>
    <t>Мечник - благородный воин, он быстр и силен.</t>
  </si>
  <si>
    <t>Les épéistes sont de nobles guerriers, rapides et forts.</t>
  </si>
  <si>
    <t>archer desc</t>
  </si>
  <si>
    <t>Archers can attack enemies who are in long distance.</t>
  </si>
  <si>
    <t>Лучник способен атаковать врагов, расположенных на большом расстоянии.</t>
  </si>
  <si>
    <t>Les archers permettent d'attaquer des ennemis à distance.</t>
  </si>
  <si>
    <t>wizard desc</t>
  </si>
  <si>
    <t>Wizards do magic stuff and punish evil.</t>
  </si>
  <si>
    <t>마법사들은 마법으로 악을 처벌합니다.</t>
  </si>
  <si>
    <t>Los magos castigan los males con su magia.</t>
  </si>
  <si>
    <t>Колдун наказывают зло своими магическими штучками.</t>
  </si>
  <si>
    <t>Les mages font des trucs magiques et éradiquent le mal.</t>
  </si>
  <si>
    <t>helicopter desc</t>
  </si>
  <si>
    <t>Helicopters can fly and they attack with gravel.</t>
  </si>
  <si>
    <t>드론병은 비행이 가능하며 자갈을 던저 공격합니다.</t>
  </si>
  <si>
    <t>Вертолетчики, как ни странно, летают, а атакуют грудами гравия.</t>
  </si>
  <si>
    <t>Les hélicoptères volent et attaquent avec du gravier.</t>
  </si>
  <si>
    <t>catapult desc</t>
  </si>
  <si>
    <t>This unit is very slow. But nothing is more powerful than this. Hordes of zombies can only be destroyed by this unit.</t>
  </si>
  <si>
    <t>이 장치는 매우 느립니다. 그러나 이보다 더 강력한 것은 없습니다. 거대 좀비 무리를 쓸어버릴 수있는 유일한 무기입니다.</t>
  </si>
  <si>
    <t>Esta unidad es muy lenta. Pero nada es más poderoso que esto. La horda de zombies solo puede ser destruida por este.</t>
  </si>
  <si>
    <t>Очень медленная, но достаточно мощная, чтобы разрывать зомби на куски.</t>
  </si>
  <si>
    <t>Cet unité est très lente, mais c'est aussi la plus puissante. C'est la seule arme qui permet de vaincre des hordes de zombies.</t>
  </si>
  <si>
    <t>orc worker desc</t>
  </si>
  <si>
    <t>Goblin gathers gold and lumber for Orcs.</t>
  </si>
  <si>
    <t>Гоблин собирает золото и древесину для Орков.</t>
  </si>
  <si>
    <t>Les Goblins récoltent de l'or et du bois pour les Orcs.</t>
  </si>
  <si>
    <t>goblin desc</t>
  </si>
  <si>
    <t>GOBLINs are fast and very greedy.</t>
  </si>
  <si>
    <t>А Гоблины быстрые и очень жадные.</t>
  </si>
  <si>
    <t>Les Goblins sont rapides et très avides.</t>
  </si>
  <si>
    <t>goblin bomb desc</t>
  </si>
  <si>
    <t>They are carrying a bomb that can blow everything.</t>
  </si>
  <si>
    <t>그들은 모든 것을 날려 버릴 수 있는 폭탄을 운반하고 있습니다.</t>
  </si>
  <si>
    <t>У них бомба, способная все уничтожить.</t>
  </si>
  <si>
    <t>Ils transportent une bombe qui peut tout faire exploser.</t>
  </si>
  <si>
    <t>orc axe desc</t>
  </si>
  <si>
    <t>An orc's axe is very dangerous.</t>
  </si>
  <si>
    <t>Топор орка очень опасен.</t>
  </si>
  <si>
    <t>La hâche d'un Orc est très dangereuse.</t>
  </si>
  <si>
    <t>orc spear desc</t>
  </si>
  <si>
    <t>An orc's spear can fly like a bullet.</t>
  </si>
  <si>
    <t>Копье орка летит со скоростью пули.</t>
  </si>
  <si>
    <t>La lance d'un Orc vole comme une balle.</t>
  </si>
  <si>
    <t>troll desc</t>
  </si>
  <si>
    <t>Troll is very heavy and slow.</t>
  </si>
  <si>
    <t>Тролль идет тяжело и медленно.</t>
  </si>
  <si>
    <t>Les trolls sont très lourds et lents.</t>
  </si>
  <si>
    <t>zombie orc axe desc</t>
  </si>
  <si>
    <t>Once dead men never die.</t>
  </si>
  <si>
    <t>Однажды мертвые оживут вновь.</t>
  </si>
  <si>
    <t>Une fois morts, les hommes ne meurent plus.</t>
  </si>
  <si>
    <t>zombie swordman desc</t>
  </si>
  <si>
    <t>Do you think they can die again?</t>
  </si>
  <si>
    <t>Как думаете, они умрут еще раз?</t>
  </si>
  <si>
    <t>Vous pensez qu'ils peuvent encore mourir ?</t>
  </si>
  <si>
    <t>zombie orc axe</t>
  </si>
  <si>
    <t>Infected orc warrior</t>
  </si>
  <si>
    <t>Орк-воин Заражен</t>
  </si>
  <si>
    <t>Guerrier Orc infecté</t>
  </si>
  <si>
    <t>zombie swordman</t>
  </si>
  <si>
    <t>Infected human</t>
  </si>
  <si>
    <t>Человек Заражен</t>
  </si>
  <si>
    <t>Humain infecté</t>
  </si>
  <si>
    <t>clear chapter 2</t>
  </si>
  <si>
    <t>You need to open chapter 2 to use this.</t>
  </si>
  <si>
    <t>챕터 2를 열면 사용 가능합니다.</t>
  </si>
  <si>
    <t>Necesitas abrir el capítulo 2 para usar esto.</t>
  </si>
  <si>
    <t>Сначала откройте Главу 2.</t>
  </si>
  <si>
    <t>Vous devez commencer le chapitre 2 pour utiliser ça.</t>
  </si>
  <si>
    <t>clear previous chapter</t>
  </si>
  <si>
    <t>This chapter can be opened once you clear all missions in the previous chapter or purchase the golden key.</t>
  </si>
  <si>
    <t>이전 챕터를 모두 클리어하거나 황금열쇠를 구매하여 열 수 있습니다.</t>
  </si>
  <si>
    <t>Este capítulo se puede abrir cuando realiza todas las misiones del capítulo anterior o cuando compra la llave de oro.</t>
  </si>
  <si>
    <t>Эта глава откроется, если вы пройдете все миссии предыдущей главы или купите золотой ключ.</t>
  </si>
  <si>
    <t>Déverrouillez ce chapitre en finissant toutes les missions du chapitre précèdent ou achetez la clé dorée.</t>
  </si>
  <si>
    <t>free app alert</t>
  </si>
  <si>
    <t>If you downloaded this game during the free-download promotion, there might be ads displayed.</t>
  </si>
  <si>
    <t>무료 프로모션 기간 중에 다운 받으셨을 경우 광고가 보여질 수 있습니다.</t>
  </si>
  <si>
    <t>Si descargó este juego durante la promoción de descarga gratuita, es posible que se muestren anuncios.</t>
  </si>
  <si>
    <t>Если вы скачали игру бесплатно по акции, то возможно будет показываться реклама.</t>
  </si>
  <si>
    <t>Si vous avez téléchargé le jeu pendant sa période gratuite, des publicités seront affichées.</t>
  </si>
  <si>
    <t>colosseum top 1</t>
  </si>
  <si>
    <t>You took the top place of the league! I'm sure that people want to see you tomorrow as well.</t>
  </si>
  <si>
    <t>¡Tomaste el primer lugar de la liga! No tengo ninguna duda acerca de que la gente también quiere verte hoy.</t>
  </si>
  <si>
    <t>Вы заняли первое место в лиге! Я не сомневаюсь, что люди хотят видеть вас на этом месте и завтра.</t>
  </si>
  <si>
    <t>Vous avez atteint la première place de la ligue ! Je suis sûr que des gens voudront vous voir demain aussi.</t>
  </si>
  <si>
    <t>colosseum top 10</t>
  </si>
  <si>
    <t>You are unbelievable. Look at how good you are in the colosseum. Here are your rewards!</t>
  </si>
  <si>
    <t>당신은 믿을 수 없습니다. 당신이 아레나에서 얼마나 굉장한 지보십시오. 여기 당신의 보상이 있습니다!</t>
  </si>
  <si>
    <t>Eres increíble. Mira lo maravilloso que eres en el coliseo. ¡Aquí están tus recompensas!</t>
  </si>
  <si>
    <t>Вы великолепны! Отличные успехи в Колизее. Получите свою награду!</t>
  </si>
  <si>
    <t>Vous êtes incroyable, regardez comme vous êtes forts dans le Colisée ! Voici votre récompense !</t>
  </si>
  <si>
    <t>colosseum top 30</t>
  </si>
  <si>
    <t>You are amazing! Here are your rewards for how great you were at the colosseum yesterday.</t>
  </si>
  <si>
    <t>당신 정말 대단하네요! 나는 당신이 어제 아레나에서 굉장했다는 것을 인정해야합니다. 여기에 보상이 있습니다.</t>
  </si>
  <si>
    <t>¡Eres fabuloso! Debo admitir que ayer estuviste increíble en el Coliseo. Aquí está tu recompensa.</t>
  </si>
  <si>
    <t>Прекрасно играете! Вот ваши награды за вчерашние успехи в Колизее.</t>
  </si>
  <si>
    <t>Vous êtes exceptionnel ! Voici votre récompense pour votre performance d'hier dans le Colisée.</t>
  </si>
  <si>
    <t>colosseum top 100</t>
  </si>
  <si>
    <t>You did well in yesterday's colosseum. Take your rewards and let me see you in the colosseum again.</t>
  </si>
  <si>
    <t>당신은 어제의 아레나에서 굉장했습니다. 보상을 받고 다시 콜로세움에서 당신을 볼 기회를주십시오.</t>
  </si>
  <si>
    <t>Estuviste increíble en el Coliseo de ayer. Toma tu recompensa y dame la oportunidad de verte de nuevo en el Coliseo.</t>
  </si>
  <si>
    <t>Вчера в Колизее вы отлично преуспели. Смогу ли я увидеть вас здесь завтра?</t>
  </si>
  <si>
    <t>Vous avez bien joué hier dans le Colisée. Prenez votre récompense, en espèrant vous revoir .</t>
  </si>
  <si>
    <t>colosseum result</t>
  </si>
  <si>
    <t>COLOSSEUM RESULT</t>
  </si>
  <si>
    <t>아레나 결과</t>
  </si>
  <si>
    <t>Resultado del coliseo</t>
  </si>
  <si>
    <t>РЕЗУЛЬТАТ В КОЛИЗЕЕ</t>
  </si>
  <si>
    <t>RÉSULTAT DU COLISÉE</t>
  </si>
  <si>
    <t>challenge arena</t>
  </si>
  <si>
    <t>Be the first player to challenge today’s arena!</t>
  </si>
  <si>
    <t>오늘의 아레나의 첫 번째 도전자가 되어주세요!</t>
  </si>
  <si>
    <t>¡Sé el primero en desafiar la arena hoy!</t>
  </si>
  <si>
    <t>Будьте первым игроком, кто бросит вызов сегодня на этой арене!</t>
  </si>
  <si>
    <t>Soyez le premier joueur dans l'arène aujourd'hui !</t>
  </si>
  <si>
    <t>rank</t>
  </si>
  <si>
    <t>RANK</t>
  </si>
  <si>
    <t>순위</t>
  </si>
  <si>
    <t>RANGO</t>
  </si>
  <si>
    <t>РАНГ</t>
  </si>
  <si>
    <t>RANG</t>
  </si>
  <si>
    <t>reward</t>
  </si>
  <si>
    <t>REWARD</t>
  </si>
  <si>
    <t>보상</t>
  </si>
  <si>
    <t>RECOMPENSA</t>
  </si>
  <si>
    <t>ВОЗНАГРАЖДЕНИЕ</t>
  </si>
  <si>
    <t>RÉCOMPENSE</t>
  </si>
  <si>
    <t>not enough ticket</t>
  </si>
  <si>
    <t>Not enough tickets</t>
  </si>
  <si>
    <t>티켓이 부족합니다.</t>
  </si>
  <si>
    <t>No hay tickets suficientes</t>
  </si>
  <si>
    <t>Не хватает билетов</t>
  </si>
  <si>
    <t>Pas assez de tickets</t>
  </si>
  <si>
    <t>not enough gems</t>
  </si>
  <si>
    <t>Not enough gems</t>
  </si>
  <si>
    <t>보석이 부족합니다.</t>
  </si>
  <si>
    <t>No hay suficiente gema.</t>
  </si>
  <si>
    <t>Не хватает гемов</t>
  </si>
  <si>
    <t>Pas assez d'objets</t>
  </si>
  <si>
    <t>server fail try again</t>
  </si>
  <si>
    <t>Failed to connect to the Server</t>
  </si>
  <si>
    <t>서버 접속에 실패 했습니다.</t>
  </si>
  <si>
    <t>Error al conectar con el servidor</t>
  </si>
  <si>
    <t>Не удалось подключ. к Серверу</t>
  </si>
  <si>
    <t>Connexion au serveur échouée.</t>
  </si>
  <si>
    <t>play</t>
  </si>
  <si>
    <t>PLAY</t>
  </si>
  <si>
    <t>플레이</t>
  </si>
  <si>
    <t>JUGAR</t>
  </si>
  <si>
    <t>ИГРАТЬ</t>
  </si>
  <si>
    <t>JOUER</t>
  </si>
  <si>
    <t>back key exit</t>
  </si>
  <si>
    <t>What? Exit? Really?</t>
  </si>
  <si>
    <t>뭐시라?! 나가겠다고?!</t>
  </si>
  <si>
    <t>¿Qué? ¿Te vas? ¿En serio?</t>
  </si>
  <si>
    <t>Как так? Выходите? Вы уверены?..</t>
  </si>
  <si>
    <t>Quoi ? Fermer le jeu ? Vraiment ?</t>
  </si>
  <si>
    <t>Was? Ausgang? Ja wirklich?</t>
  </si>
  <si>
    <t>option</t>
  </si>
  <si>
    <t>OPTION</t>
  </si>
  <si>
    <t>옵션</t>
  </si>
  <si>
    <t>OPCIONES</t>
  </si>
  <si>
    <t>НАСТРОЙКИ</t>
  </si>
  <si>
    <t>save</t>
  </si>
  <si>
    <t>SAVE</t>
  </si>
  <si>
    <t>저장하기</t>
  </si>
  <si>
    <t>GUARDAR</t>
  </si>
  <si>
    <t>СОХРАНИТЬ</t>
  </si>
  <si>
    <t>SAUVEGARDER</t>
  </si>
  <si>
    <t>load</t>
  </si>
  <si>
    <t>LOAD</t>
  </si>
  <si>
    <t>불러오기</t>
  </si>
  <si>
    <t>CARGAR</t>
  </si>
  <si>
    <t>ЗАГРУЗИТЬ</t>
  </si>
  <si>
    <t>CHARGER</t>
  </si>
  <si>
    <t>arena</t>
  </si>
  <si>
    <t>АРЕНА</t>
  </si>
  <si>
    <t>ARÈNE</t>
  </si>
  <si>
    <t>coming soon</t>
  </si>
  <si>
    <t>COMING SOON</t>
  </si>
  <si>
    <t>커밍 순</t>
  </si>
  <si>
    <t>PRÓXIMAMENTE</t>
  </si>
  <si>
    <t>С К О Р О</t>
  </si>
  <si>
    <t>BIENTÔT</t>
  </si>
  <si>
    <t>restore complete</t>
  </si>
  <si>
    <t>Restore completed</t>
  </si>
  <si>
    <t>Reestablecimiento completado</t>
  </si>
  <si>
    <t>Успешно восстановлено</t>
  </si>
  <si>
    <t>Restauration terminée.</t>
  </si>
  <si>
    <t>restore</t>
  </si>
  <si>
    <t>Restore</t>
  </si>
  <si>
    <t>Восстановить</t>
  </si>
  <si>
    <t>Restaurer</t>
  </si>
  <si>
    <t>buy</t>
  </si>
  <si>
    <t>BUY</t>
  </si>
  <si>
    <t>구매하기</t>
  </si>
  <si>
    <t>COMPRAR</t>
  </si>
  <si>
    <t>КУПИТЬ</t>
  </si>
  <si>
    <t>ACHETER</t>
  </si>
  <si>
    <t>beta alert</t>
  </si>
  <si>
    <t>This is in BETA state. It might not work properly :P</t>
  </si>
  <si>
    <t>베타 테스트 중입니다. 정상적으로 동작하지 않을 수도 있어용^^;</t>
  </si>
  <si>
    <t>Esta es una versión BETA. Puede que no funcione correctamente :p</t>
  </si>
  <si>
    <t>На бета-тесте. Может не работать должным образом :P</t>
  </si>
  <si>
    <t>Ceci est en beta. Des bugs sont à prévoir :P</t>
  </si>
  <si>
    <t>select support</t>
  </si>
  <si>
    <t>GET</t>
  </si>
  <si>
    <t>선택</t>
  </si>
  <si>
    <t>CONSEGUIR</t>
  </si>
  <si>
    <t>ВЫБОР</t>
  </si>
  <si>
    <t>OBTENIR</t>
  </si>
  <si>
    <t>sign in google play</t>
  </si>
  <si>
    <t>Sign in to Google Play Game Service</t>
  </si>
  <si>
    <t>게임 서비스 로그인이 필요합니다.</t>
  </si>
  <si>
    <t>Inicia sesión en tu cuenta de Google Play</t>
  </si>
  <si>
    <t>Войдите в сервис Google Play Игр</t>
  </si>
  <si>
    <t>Connectez-vous à Google Play Jeux</t>
  </si>
  <si>
    <t>sign in game center</t>
  </si>
  <si>
    <t>Sign in to Game Center</t>
  </si>
  <si>
    <t>게임 센터 로그인이 필요합니다.</t>
  </si>
  <si>
    <t>Inicia sesión en tu cuenta de Game Center</t>
  </si>
  <si>
    <t>Войдите в сервис Game Center</t>
  </si>
  <si>
    <t>Connectez-vous à Game Center</t>
  </si>
  <si>
    <t>effect on</t>
  </si>
  <si>
    <t>EFFECT ON</t>
  </si>
  <si>
    <t>효과음 켜짐</t>
  </si>
  <si>
    <t>EFECTOS: SÍ</t>
  </si>
  <si>
    <t>ЭФФЕКТЫ: ДА</t>
  </si>
  <si>
    <t>EFFETS : OUI</t>
  </si>
  <si>
    <t>effect off</t>
  </si>
  <si>
    <t>EFFECT OFF</t>
  </si>
  <si>
    <t>효과음 꺼짐</t>
  </si>
  <si>
    <t>EFECTOS: NO</t>
  </si>
  <si>
    <t>ЭФФЕКТЫ: НЕТ</t>
  </si>
  <si>
    <t>EFFETS : NON</t>
  </si>
  <si>
    <t>music on</t>
  </si>
  <si>
    <t>MUSIC ON</t>
  </si>
  <si>
    <t>배경음 켜짐</t>
  </si>
  <si>
    <t>MÚSICA: SÍ</t>
  </si>
  <si>
    <t>МУЗЫКА: ДА</t>
  </si>
  <si>
    <t>MUSIQUE : OUI</t>
  </si>
  <si>
    <t>music off</t>
  </si>
  <si>
    <t>MUSIC OFF</t>
  </si>
  <si>
    <t>배경음 꺼짐</t>
  </si>
  <si>
    <t>MÚSICA: NO</t>
  </si>
  <si>
    <t>МУЗЫКА: НЕТ</t>
  </si>
  <si>
    <t>MUSIQUE : NON</t>
  </si>
  <si>
    <t>never show</t>
  </si>
  <si>
    <t>Never show</t>
  </si>
  <si>
    <t>다시 보지 않기</t>
  </si>
  <si>
    <t>No volver a mostrar</t>
  </si>
  <si>
    <t>Больше не показывать</t>
  </si>
  <si>
    <t>Ne plus demander</t>
  </si>
  <si>
    <t>rate game</t>
  </si>
  <si>
    <t>Please rate this game.</t>
  </si>
  <si>
    <t>게임을 평가해주세요.</t>
  </si>
  <si>
    <t>Por favor` valora este juego.</t>
  </si>
  <si>
    <t>Пожалуйста, оцените игру!</t>
  </si>
  <si>
    <t>Notez ce jeu s'il vous plaît</t>
  </si>
  <si>
    <t>enjoy game</t>
  </si>
  <si>
    <t>Do you enjoy Cartoon Craft?</t>
  </si>
  <si>
    <t>카툰 크래프트 재미있으신가요?</t>
  </si>
  <si>
    <t>¿Te gusta Cartoon Craft?</t>
  </si>
  <si>
    <t>Вам нравится Cartoon Craft?</t>
  </si>
  <si>
    <t>Est-ce que vous aimez Cartoon Craft ?</t>
  </si>
  <si>
    <t>select all</t>
  </si>
  <si>
    <t>ALL FORCES</t>
  </si>
  <si>
    <t>전 병력 선택</t>
  </si>
  <si>
    <t>TODAS LAS FUERZAS</t>
  </si>
  <si>
    <t>ВСЕ ВОЙСКА</t>
  </si>
  <si>
    <t>TOUTES LES UNITÉS</t>
  </si>
  <si>
    <t>select screen</t>
  </si>
  <si>
    <t>FORCES ON SCREEN</t>
  </si>
  <si>
    <t>화면 내 병력 선택</t>
  </si>
  <si>
    <t>FUERZAS EN PANTALLA</t>
  </si>
  <si>
    <t>ВОЙСКА НА ЭКРАНЕ</t>
  </si>
  <si>
    <t>UNITÉS A L'ÉCRAN</t>
  </si>
  <si>
    <t>later</t>
  </si>
  <si>
    <t>Later</t>
  </si>
  <si>
    <t>나중에</t>
  </si>
  <si>
    <t>Más tarde</t>
  </si>
  <si>
    <t>Позже</t>
  </si>
  <si>
    <t>Plus tard</t>
  </si>
  <si>
    <t>choose unit to upgrade</t>
  </si>
  <si>
    <t>Choose a soldier that you want to upgrade.</t>
  </si>
  <si>
    <t>Выберите солдата, которого хотите улучшить.</t>
  </si>
  <si>
    <t>choose support</t>
  </si>
  <si>
    <t>Get Support Force</t>
  </si>
  <si>
    <t>지원 병력 선택</t>
  </si>
  <si>
    <t>Consigue fuerzas de apoyo</t>
  </si>
  <si>
    <t>Получить Подкрепление</t>
  </si>
  <si>
    <t>Obtenir des unités supplémentaires</t>
  </si>
  <si>
    <t>overwrite save data</t>
  </si>
  <si>
    <t>Data already exists on the slot. Do you want to overwrite it?</t>
  </si>
  <si>
    <t>저장된 데이터가 있습니다. 덮어쓰기 하시겠습니까?</t>
  </si>
  <si>
    <t>Hay información en la ranura. ¿Quieres sobreescribirla?</t>
  </si>
  <si>
    <t>Данные есть на слоте. Хотите перезаписать?</t>
  </si>
  <si>
    <t>Des données existent déjà à cet emplacement. Voulez-vous les écraser ?</t>
  </si>
  <si>
    <t>load data</t>
  </si>
  <si>
    <t>Do you want to play the saved game?</t>
  </si>
  <si>
    <t>저장된 게임을 플레이하시겠습니까?</t>
  </si>
  <si>
    <t>¿Quieres jugar la partida guardada?</t>
  </si>
  <si>
    <t>Вы хотите играть в сохраненную игру?</t>
  </si>
  <si>
    <t>Voulez vous reprendre à la sauvegarde ?</t>
  </si>
  <si>
    <t>gold left</t>
  </si>
  <si>
    <t>Gold Left: %d</t>
  </si>
  <si>
    <t>Oro restante: %d</t>
  </si>
  <si>
    <t>Остаток Золота: %d</t>
  </si>
  <si>
    <t>Or restant : %d</t>
  </si>
  <si>
    <t>Gold Links:%d</t>
  </si>
  <si>
    <t>Altın Sol:%d</t>
  </si>
  <si>
    <t>next</t>
  </si>
  <si>
    <t>Next</t>
  </si>
  <si>
    <t>다음</t>
  </si>
  <si>
    <t>Siguiente</t>
  </si>
  <si>
    <t>Дальше</t>
  </si>
  <si>
    <t>Suivant</t>
  </si>
  <si>
    <t>not available on this stage</t>
  </si>
  <si>
    <t>Not available at this stage</t>
  </si>
  <si>
    <t>이 스테이지에서는 사용할 수 없습니다</t>
  </si>
  <si>
    <t>No disponible en este nivel</t>
  </si>
  <si>
    <t>Недоступно на этом этапе</t>
  </si>
  <si>
    <t>Indisponible dans ce niveau</t>
  </si>
  <si>
    <t>not enough gold</t>
  </si>
  <si>
    <t>Not enough gold</t>
  </si>
  <si>
    <t>금이 부족합니다</t>
  </si>
  <si>
    <t>No tienes suficiente oro</t>
  </si>
  <si>
    <t>Не хватает золота</t>
  </si>
  <si>
    <t>Pas assez d'or</t>
  </si>
  <si>
    <t>not enough lumber</t>
  </si>
  <si>
    <t>Not enough lumber</t>
  </si>
  <si>
    <t>나무가 부족합니다</t>
  </si>
  <si>
    <t>No tienes suficiente madera</t>
  </si>
  <si>
    <t>Не хватает древесины</t>
  </si>
  <si>
    <t>Pas assez de bois</t>
  </si>
  <si>
    <t>not enough food</t>
  </si>
  <si>
    <t>Not enough food</t>
  </si>
  <si>
    <t>식량이 부족합니다</t>
  </si>
  <si>
    <t>No tienes suficiente comida</t>
  </si>
  <si>
    <t>Не хватает еды</t>
  </si>
  <si>
    <t>Pas assez de nourriture</t>
  </si>
  <si>
    <t>human</t>
  </si>
  <si>
    <t>휴먼</t>
  </si>
  <si>
    <t>Humano</t>
  </si>
  <si>
    <t>Человек</t>
  </si>
  <si>
    <t>Humain</t>
  </si>
  <si>
    <t>orc</t>
  </si>
  <si>
    <t>Orc</t>
  </si>
  <si>
    <t>오크</t>
  </si>
  <si>
    <t>orca</t>
  </si>
  <si>
    <t>Орк</t>
  </si>
  <si>
    <t>zombie</t>
  </si>
  <si>
    <t>Zombie</t>
  </si>
  <si>
    <t>좀비</t>
  </si>
  <si>
    <t>Zombi</t>
  </si>
  <si>
    <t>Зомби</t>
  </si>
  <si>
    <t>werewolf</t>
  </si>
  <si>
    <t>Werewolf</t>
  </si>
  <si>
    <t>늑대인간</t>
  </si>
  <si>
    <t>Hombre lobo</t>
  </si>
  <si>
    <t>Оборотень</t>
  </si>
  <si>
    <t>Loup-Garou</t>
  </si>
  <si>
    <t>castle</t>
  </si>
  <si>
    <t>Castle</t>
  </si>
  <si>
    <t>성</t>
  </si>
  <si>
    <t>Castillo</t>
  </si>
  <si>
    <t>Замок</t>
  </si>
  <si>
    <t>Château</t>
  </si>
  <si>
    <t>barbecue</t>
  </si>
  <si>
    <t>Barbecue Party</t>
  </si>
  <si>
    <t>Вечеринка с Барбекю</t>
  </si>
  <si>
    <t>Soirée Barbecue</t>
  </si>
  <si>
    <t>temple</t>
  </si>
  <si>
    <t>Temple</t>
  </si>
  <si>
    <t>제단</t>
  </si>
  <si>
    <t>templo</t>
  </si>
  <si>
    <t>Храм</t>
  </si>
  <si>
    <t>farm</t>
  </si>
  <si>
    <t>Farm</t>
  </si>
  <si>
    <t>농장</t>
  </si>
  <si>
    <t>Granja</t>
  </si>
  <si>
    <t>Ферма</t>
  </si>
  <si>
    <t>Ferme</t>
  </si>
  <si>
    <t>barracks</t>
  </si>
  <si>
    <t>Barracks</t>
  </si>
  <si>
    <t>병영</t>
  </si>
  <si>
    <t>Cuartel</t>
  </si>
  <si>
    <t>Казарма</t>
  </si>
  <si>
    <t>Caserne</t>
  </si>
  <si>
    <t>lumbermill</t>
  </si>
  <si>
    <t>목재소</t>
  </si>
  <si>
    <t>Aserradero</t>
  </si>
  <si>
    <t>Лесопилка</t>
  </si>
  <si>
    <t>Scierie</t>
  </si>
  <si>
    <t>build orc barracks first</t>
  </si>
  <si>
    <t>A weapon house is required.</t>
  </si>
  <si>
    <t>오크 공방을 먼저 건설해야 합니다</t>
  </si>
  <si>
    <t>Требуется оружие здания.</t>
  </si>
  <si>
    <t>Vous avez besoin d'une armurerie.</t>
  </si>
  <si>
    <t>build barracks first</t>
  </si>
  <si>
    <t>Build barracks first.</t>
  </si>
  <si>
    <t>병영을 먼저 건설해야 합니다</t>
  </si>
  <si>
    <t>Construye un Cuartel primero.</t>
  </si>
  <si>
    <t>Сначала постройте казарму.</t>
  </si>
  <si>
    <t>Construisez d'abord une Caserne.</t>
  </si>
  <si>
    <t>build lumbermill first</t>
  </si>
  <si>
    <t>Build a lumbermill first.</t>
  </si>
  <si>
    <t>목재소를 먼저 건설해야 합니다</t>
  </si>
  <si>
    <t>Construye un aserradero primero.</t>
  </si>
  <si>
    <t>Сначала постройте лесопилку.</t>
  </si>
  <si>
    <t>Construisez d'abord une scierie.</t>
  </si>
  <si>
    <t>Watch tower</t>
  </si>
  <si>
    <t>감시탑</t>
  </si>
  <si>
    <t>Torre de vigilancia</t>
  </si>
  <si>
    <t>Сторожевая Башня</t>
  </si>
  <si>
    <t>Tour de garde</t>
  </si>
  <si>
    <t>underground bunker</t>
  </si>
  <si>
    <t>Underground Bunker</t>
  </si>
  <si>
    <t>지하 벙커</t>
  </si>
  <si>
    <t>Búnker subterráneo</t>
  </si>
  <si>
    <t>Подземный Бункер</t>
  </si>
  <si>
    <t>Bunker souterrain</t>
  </si>
  <si>
    <t>trigger</t>
  </si>
  <si>
    <t>신호탄</t>
  </si>
  <si>
    <t>Llamarada</t>
  </si>
  <si>
    <t>Вспышка</t>
  </si>
  <si>
    <t>Signal</t>
  </si>
  <si>
    <t>factory</t>
  </si>
  <si>
    <t>Factory</t>
  </si>
  <si>
    <t>공장</t>
  </si>
  <si>
    <t>Fábrica</t>
  </si>
  <si>
    <t>Завод</t>
  </si>
  <si>
    <t>Usine</t>
  </si>
  <si>
    <t>airport</t>
  </si>
  <si>
    <t>Airport</t>
  </si>
  <si>
    <t>공항</t>
  </si>
  <si>
    <t>Aeropuerto</t>
  </si>
  <si>
    <t>Аэропорт</t>
  </si>
  <si>
    <t>Aéroport</t>
  </si>
  <si>
    <t>mine</t>
  </si>
  <si>
    <t>Mine</t>
  </si>
  <si>
    <t>금광</t>
  </si>
  <si>
    <t>Mina</t>
  </si>
  <si>
    <t>Шахта</t>
  </si>
  <si>
    <t>orc hq</t>
  </si>
  <si>
    <t>Orc HQ</t>
  </si>
  <si>
    <t>오크 본부</t>
  </si>
  <si>
    <t>Штаб Орков</t>
  </si>
  <si>
    <t>QG des Orcs</t>
  </si>
  <si>
    <t>orc barracks</t>
  </si>
  <si>
    <t>Orc Weapon House</t>
  </si>
  <si>
    <t>오크 공방</t>
  </si>
  <si>
    <t>Casa de Armas Orcas</t>
  </si>
  <si>
    <t>Хранилище Оружия Орков</t>
  </si>
  <si>
    <t>Armurerie Orc</t>
  </si>
  <si>
    <t>orc bunker</t>
  </si>
  <si>
    <t>Orc Bunker</t>
  </si>
  <si>
    <t>오크 벙커</t>
  </si>
  <si>
    <t>Orco Bunker</t>
  </si>
  <si>
    <t>Бункер Орков</t>
  </si>
  <si>
    <t>Bunker d'Orc</t>
  </si>
  <si>
    <t>orc troll house</t>
  </si>
  <si>
    <t>Troll House</t>
  </si>
  <si>
    <t>트롤 하우스</t>
  </si>
  <si>
    <t>Casa troll</t>
  </si>
  <si>
    <t>Дом Тролля</t>
  </si>
  <si>
    <t>Maison de troll</t>
  </si>
  <si>
    <t>worker</t>
  </si>
  <si>
    <t>Worker</t>
  </si>
  <si>
    <t>일꾼</t>
  </si>
  <si>
    <t>Trabajador</t>
  </si>
  <si>
    <t>Рабочий</t>
  </si>
  <si>
    <t>Ouvrier</t>
  </si>
  <si>
    <t>swordman</t>
  </si>
  <si>
    <t>Swordman</t>
  </si>
  <si>
    <t>검사</t>
  </si>
  <si>
    <t>Espadachín</t>
  </si>
  <si>
    <t>Мечник</t>
  </si>
  <si>
    <t>Épéiste</t>
  </si>
  <si>
    <t>archer</t>
  </si>
  <si>
    <t>Archer</t>
  </si>
  <si>
    <t>궁수</t>
  </si>
  <si>
    <t>Arquero</t>
  </si>
  <si>
    <t>Лучник</t>
  </si>
  <si>
    <t>wizard</t>
  </si>
  <si>
    <t>Wizard</t>
  </si>
  <si>
    <t>마법사</t>
  </si>
  <si>
    <t>Mago</t>
  </si>
  <si>
    <t>Колдун</t>
  </si>
  <si>
    <t>Mage</t>
  </si>
  <si>
    <t>helicopter</t>
  </si>
  <si>
    <t>Helicopter</t>
  </si>
  <si>
    <t>드론병</t>
  </si>
  <si>
    <t>Helicóptero</t>
  </si>
  <si>
    <t>Вертолетчик</t>
  </si>
  <si>
    <t>Hélicoptère</t>
  </si>
  <si>
    <t>catapult</t>
  </si>
  <si>
    <t>Catapult</t>
  </si>
  <si>
    <t>투석기</t>
  </si>
  <si>
    <t>Catapulta</t>
  </si>
  <si>
    <t>Катапульта</t>
  </si>
  <si>
    <t>Catapulte</t>
  </si>
  <si>
    <t>orc axe</t>
  </si>
  <si>
    <t>Orc Fighter</t>
  </si>
  <si>
    <t>오크 파이터</t>
  </si>
  <si>
    <t>Luchador orco</t>
  </si>
  <si>
    <t>Боевой Орк</t>
  </si>
  <si>
    <t>Combattant Orc</t>
  </si>
  <si>
    <t>orc spear</t>
  </si>
  <si>
    <t>Orc Spear man</t>
  </si>
  <si>
    <t>오크 창병</t>
  </si>
  <si>
    <t>Орк с Копьем</t>
  </si>
  <si>
    <t>Lancier Orc</t>
  </si>
  <si>
    <t>troll</t>
  </si>
  <si>
    <t>Troll</t>
  </si>
  <si>
    <t>트롤</t>
  </si>
  <si>
    <t>Тролль</t>
  </si>
  <si>
    <t>orc worker</t>
  </si>
  <si>
    <t>Goblin Worker</t>
  </si>
  <si>
    <t>고블린 일꾼</t>
  </si>
  <si>
    <t>Гоблин Рабочий</t>
  </si>
  <si>
    <t>Ouvrier Goblin</t>
  </si>
  <si>
    <t>goblin</t>
  </si>
  <si>
    <t>Goblin</t>
  </si>
  <si>
    <t>고블린</t>
  </si>
  <si>
    <t>Duende</t>
  </si>
  <si>
    <t>Гоблин</t>
  </si>
  <si>
    <t>goblin bomb</t>
  </si>
  <si>
    <t>Bomber</t>
  </si>
  <si>
    <t>버머</t>
  </si>
  <si>
    <t>Bomberman</t>
  </si>
  <si>
    <t>Бомбер</t>
  </si>
  <si>
    <t>Bombardier</t>
  </si>
  <si>
    <t>RESUME</t>
  </si>
  <si>
    <t>계속하기</t>
  </si>
  <si>
    <t>CONTINUAR</t>
  </si>
  <si>
    <t>ПРОДОЛЖИТЬ</t>
  </si>
  <si>
    <t>CONTINUER</t>
  </si>
  <si>
    <t>stage title 0_0</t>
  </si>
  <si>
    <t>Begin the journey</t>
  </si>
  <si>
    <t>여행의 시작</t>
  </si>
  <si>
    <t>¡Que comience la aventura!</t>
  </si>
  <si>
    <t>Начало путешествия</t>
  </si>
  <si>
    <t>Début de l'aventure</t>
  </si>
  <si>
    <t>stage title 0_1</t>
  </si>
  <si>
    <t>Raid of Orcs</t>
  </si>
  <si>
    <t>오크의 습격</t>
  </si>
  <si>
    <t>Incursión orca</t>
  </si>
  <si>
    <t>Рейд Орков</t>
  </si>
  <si>
    <t>Raid des Orcs</t>
  </si>
  <si>
    <t>stage title 0_2</t>
  </si>
  <si>
    <t>Counter Attack</t>
  </si>
  <si>
    <t>카운터 어택</t>
  </si>
  <si>
    <t>Contraataque</t>
  </si>
  <si>
    <t>Контр-атака</t>
  </si>
  <si>
    <t>Contre-attaque</t>
  </si>
  <si>
    <t>stage title 0_3</t>
  </si>
  <si>
    <t>Rise of Zombies</t>
  </si>
  <si>
    <t>좀비의 등장</t>
  </si>
  <si>
    <t>La aparición de los zombis</t>
  </si>
  <si>
    <t>Восстание Зомби</t>
  </si>
  <si>
    <t>Apparition des zombies</t>
  </si>
  <si>
    <t>stage title 0_4</t>
  </si>
  <si>
    <t>Help Orcs</t>
  </si>
  <si>
    <t>오크를 구하라</t>
  </si>
  <si>
    <t>Ayuda a los orcos</t>
  </si>
  <si>
    <t>Помощь Орков</t>
  </si>
  <si>
    <t>Aider les Orcs</t>
  </si>
  <si>
    <t>stage title 0_5</t>
  </si>
  <si>
    <t>Alliance</t>
  </si>
  <si>
    <t>동맹</t>
  </si>
  <si>
    <t>Alianza</t>
  </si>
  <si>
    <t>Союз</t>
  </si>
  <si>
    <t>stage title 0_6</t>
  </si>
  <si>
    <t>Zombies King</t>
  </si>
  <si>
    <t>좀비의 왕</t>
  </si>
  <si>
    <t>El rey zombi</t>
  </si>
  <si>
    <t>Король Зомби</t>
  </si>
  <si>
    <t>Le Roi des Zombies</t>
  </si>
  <si>
    <t>stage title 0_7</t>
  </si>
  <si>
    <t>Swarm of Zombies</t>
  </si>
  <si>
    <t>좀비떼의 습격</t>
  </si>
  <si>
    <t>Plaga de zombis</t>
  </si>
  <si>
    <t>Рой Зомби</t>
  </si>
  <si>
    <t>Essaim de Zombies</t>
  </si>
  <si>
    <t>stage title 0_8</t>
  </si>
  <si>
    <t>Rise in Revolt</t>
  </si>
  <si>
    <t>반란군의 등장</t>
  </si>
  <si>
    <t>Rebelión</t>
  </si>
  <si>
    <t>Великое Восстание</t>
  </si>
  <si>
    <t>Rébellion</t>
  </si>
  <si>
    <t>stage title 0_9</t>
  </si>
  <si>
    <t>Betrayer</t>
  </si>
  <si>
    <t>배신자</t>
  </si>
  <si>
    <t>Traidor</t>
  </si>
  <si>
    <t>Предатель</t>
  </si>
  <si>
    <t>Traître</t>
  </si>
  <si>
    <t>stage title 0_10</t>
  </si>
  <si>
    <t>좀비굴</t>
  </si>
  <si>
    <t>Colmena de zombis</t>
  </si>
  <si>
    <t>Улей Зомби</t>
  </si>
  <si>
    <t>Rûche des Zombies</t>
  </si>
  <si>
    <t>stage title 0_11</t>
  </si>
  <si>
    <t>End of Zombies King</t>
  </si>
  <si>
    <t>좀비왕의 최후</t>
  </si>
  <si>
    <t>El fin del rey zombi</t>
  </si>
  <si>
    <t>Конец Короля Зомби</t>
  </si>
  <si>
    <t>Mort du Roi des Zombies</t>
  </si>
  <si>
    <t>stage title story 0_0</t>
  </si>
  <si>
    <t>Hello little angel. Granny has a very interesting story to bring you to a deep sleeping land. Once upon a time Humans and Orcs were at war. They were fighting each other since forever. They didn’t even know why they were fighting. They just do it because their parents were doing it. Then one day! Boom! They became friends. How? Because there was a huge threat rising in the north-east. But before we get there, you have to know how they build a farm and barracks. Then you need to learn how to train swordsmen. Are you ready? I hope you are. Let’s dig it with granny sweety.</t>
  </si>
  <si>
    <t>우리 귀여운 손자. 할미가 우리 애기 코~ 자라고 재밌는 이야기를 하나 해줄거에요. 겁나 기대되지요? (헤헤) 옛날 옛날 겁나 먼 옛날에 판교랑 정자에 오크족과 휴먼족이 살고 있었어요. 그것들은 틈만나면 쌈박질을 했지. 당최 언제부터 그랬는지 그 시작을 알 수 없을 정도로 오랜 기간동안 쌈박질을 하고 있었어요. 우리 애기는 그런거 하면 안돼요? 알겠지요? 아무튼 그들은 지들 애미애비가 전쟁질을 하니까 지들도 커서 아무 생각없이 전쟁질을 하고 있던 게야. 그러던 어느 날! 갑자기 휴먼과 오크가 친구가 된거에요! 어떻게 그런 일이 있을 수 있냐구? 왜냐면 북동쪽 오리 지역에서 골치 아픈 공공의 적이 내려왔기 때문이야. 그 얘기를 하기 전에 그들이 어떻게 살았는지 할미가 알려줄게요? 어떻게 집을 짓고 어떻게 병사들을 훈련시켰는지 말이야.</t>
  </si>
  <si>
    <t>Hola` angelito. La abuelita tiene una historia muy interesante que te transportará a una tierra de ensueño. Érase una vez una época en la que orcos y humanos hacían movidas de la guerra y esas cosas. Llevaban desde siempre luchando entre ellos. La verdad es que ni siquiera sabían por qué luchaban` solo lo hacían porque sus papás y sus mamás lo hacían. Y` entonces` un día ¡Pumba! Se hicieron amigos. ¿Cómo? Pues porque había un tocapelotas alzándose en el noreste. Pero antes de llegar a eso` tienes que saber cómo construían granjas y cuarteles y cómo entrenaban a sus espadachines. ¿Estás preparado? Espero que sí. Ven a echar un vistazo con la abuelita` cariño.</t>
  </si>
  <si>
    <t>Приветик, ангелочек. Сегодня бубушка расскажет тебе захватывающую историю, чтобы ты сладко спал... Жили-были Орки и Люди, и они вели войну. Боролись друг с другом с незапамятных времен, даже сами не зная, зачем делают это. Просто потому что их отцы и матери делали это. Затем однажды... БУМ! Они стали друзьями навек. Как так произошло? А все из-за угрозы, идущей с северо-востока... Но прежде чем мы продолжим, малыш, нужно узнать, как строить фермы и казармы, а потом и нанимание мечников осилим. Готов? Бабушка надеется, что да. Так вперед и со сладостями бабули!</t>
  </si>
  <si>
    <t>Salut petit ange. Grand-mère a une histoire très intéressante qui t'emmènera au pays du sommeil profond. Il y a bien longtemps, les Humains et les Orcs étaient en guerre. Ils se combattaient depuis la nuit des temps. Cela faisait si longtemps qu'ils ne connaissaient même plus la raison de cette guerre. Ils le faisaient parce que leurs parents le faisaient. Et un jour ! Boom ! Ils sont devenus amis. Comment ? Parce qu'une énorme menace s'élevait au nord-est. Mais avant d'en arriver là, tu dois savoir comment ils construisaient une ferme et une caserne. Puis tu dois apprendre à entraîner des épéistes. Tu es prêt ? J'espère pour toi. C'est parti avec mamie !</t>
  </si>
  <si>
    <t>stage title story 0_1</t>
  </si>
  <si>
    <t>Orcs are a very aggressive race. But they are pretty much like humans. They sometimes ask questions about why orcs eat and smell things. It means they have ego. Just like human beings, they also do art work like painting and making sculptures. But there is one thing they don’t question, why they are doing it.  Nobody in the history of the Orcs has ever questioned why they have to fight. They fight just like animals. That was just their natural behavior. So as usual, Orcs were excited thinking about a fight that will happen the next day. But Adun the newbie general of human side already knew about the fight the Orcs have planned. Thus he decided to attack them before the sunrise.</t>
  </si>
  <si>
    <t>오크는 매우 호전적인 종족이야. 응? 호전적인게 뭐냐구? 쌈박질 좋아한다는 뜻이지. 흐흐. 그런데 그들도 인간과 많이 다르지는 않았어. 그들도 자신의 존재가치에 대한 질문을 던질 수 있을 만큼의 지성을 가진 종족이었지. 그들도 인간들처럼 그림도 그리고 조각도 하는 문명인이라는거야. 다만 하나 다른점이라면 그들은 쌈박질에 관해서라면 이유가 필요하지 않았지. 왜 싸우는지도 중요치 않았어. 그저 본능처럼 싸우는 거야. 싸울 상대가 없으면 지들끼리도 싸우곤 하지. 그런 그들이었으니. 다음날 펼쳐질 인간과의 전쟁을 기다리는 시간이 너무나도 즐거웠어. 하지만 휴먼족의 장군인 아둔 역시 싸우는 걸 무척이나 좋아했어. 하지만 지는게 너무 싫었던 그는 정면 싸움을 그리 즐기지는 않았어. 그래서 그는 약속된 전쟁의 전날밤에 오크를 기습하기로 결정한거야!</t>
  </si>
  <si>
    <t>Los orcos eran una raza muy agresiva` pero se parecían mucho a los humanos. A veces se preguntaban cosas como por qué comían u olían cosas` lo que quiere decir que eran conscientes de su existencia. Al igual que los humanos` también hacían trabajos artísticos` como pinturas y esculturas. Sin embargo` había una única cosa que no se cuestionaban; y esa era la lucha. Nunca nadie` en la historia de los orcos` se había preguntado por qué tenían que luchar. Para ellos` luchar era como respirar` estaba en su naturaleza. Así que` como siempre había sido` los orcos eran felices pensando en la batalla que tendría lugar el día siguiente. Sin embargo` Adun` el nuevo general de los humanos` ya sabía cuál era el plan de los orcos. Así que decidió atacarles antes del amanecer.</t>
  </si>
  <si>
    <t>Орки - очень агрессивная раса. Но они похожи на людей. Иногда они задаются вопросом, почему же они едят, зачем чувствуют запахи. А это говорит о том, что у них есть сознание. Так же, как и люди, они занимаются творчеством: пишут картины или делают скульптуры. Но есть то, что не вызывает у них вопросов и сомнений - это сражения. Никто в истории Орков не задавался вопросом, почему они должны сражаться. Они просто дерутся, как на инстинктах животных. Для них это простое, естественное поведение. ...Что ж, как и всегда, Орки были счастливы, думая о завтрашнем сражении. Но Адун, новый предводитель войска людей, уже знал о планах орков. Чтобы опередить их, он решил атаковать на рассвете...</t>
  </si>
  <si>
    <t>Les Orcs sont une espèce très agressive. Mais ils sont très similaires aux Humains. Parfois ils se demandent pourquoi les Orcs mangent et reniflent des choses. Cela veut dire qu'ils ont un ego. Comme les humains, ils font des oeuvres d'art, des sculptures, de la peinture. Mais ils ne se posent pas la question de pourquoi. Personne dans l'histoire des Orcs ne se demande pourquoi ils doivent se battre. Ils se battent comme des animaux. C'est simplement leur façon d'être. Comme à leur habitude, les Orcs étaient excités de se battre le lendemain. Mais Adun, le nouveau général des humains, est au courant de leur attaque. Il décide donc de les attaquer avant l'aube.</t>
  </si>
  <si>
    <t>stage title story 0_2</t>
  </si>
  <si>
    <t>Aduns victory didn't last long because the Orcs reacted fast. It only took a couple of hours for other orcs to enter the battlefield. It was impossible to win against hundreds of ocrs. Adun only had a dozen of swordsmen and archers after the glorious battle. But lucky for Adun, the orcs are very upset. They didn’t wait for the other troops. Once they arrived, they attacked. So Adun does not have to fight against hundreds of Orcs at once. They will have to fight a couple Orcs at once for hundred times. But it is not going to be easy, the Orcs are very strong. Adun needs one more trick. And he knows the best defense is offence. The orcs got a report that humans are defending themselves at their base. But humans are advancing forward. Who do you think will win the battle?</t>
  </si>
  <si>
    <t>휴먼족은 기습을 성공하고 지난 전투에서 승리를 거머쥐었지. 하지만 승리에 취해서 잠시 병사들을 그 자리에서 쉬게 한 아둔의 결정은 정말 큰 실수였어. 발빠른 오크족은 동족의 패배 소식을 듣고 전장으로 출발했고 그 수가 수백에 달하는 오크족 병사들이 전장으로 오고 있다는 첩보를 듣게 됐거든! 불행히도 아둔의 병력은 기습을 위해 기동성을 중시해서 그 숫자가 많이 않았어. 기껏해야 50명의 정예부대. 그마저도 전투에서 절반 이상을 잃었지. 하지만 아둔은 절망하지 않았어. 왜냐구? 아둔은 오크족을 잘 알고 있었거든. 싸움을 참지 못하는 오크족은 전장에 도착하는 족족 전투를 걸어오지. 아둔은 수백의 병력과 한 번에 전투를 벌이는 대신 10명도 되지 않는 적들과 수십번의 전투를 하면 되는 거였어. 하지만 그리 쉽지만은 않다는 것도 알고 있었지. 오크족은 전투를 좋아하는 만큼 아주 강한 전사들이거든. 그래서 아둔은 한 가지 방법을 떠올렸어. 그 자리에서 방어하는 것보다 적이 오는 방향으로 전진에서 매복을 하는 거였지. 과연 아둔은 이 전투도 이길 수 있을까?</t>
  </si>
  <si>
    <t>Los humanos no tardaron mucho en celebrar su victoria. Pero los orcos eran avispados y solo bastó con unas pocas horas para que otros orcos acudieran al campo de batalla. Era imposible ganar contra centenares de orcos y a Adun solo le quedaban una docena de espadachines y arqueros tras la gloriosa batalla` pero` por suerte para Adun` los orcos estaban muy cabreados y atacaban según llegaban` sin esperar al resto de las tropas. De manera que Adun no tuvo que enfrentarse a centenares de orcos en una sola batalla. Solo a unos cientos de batallas contra unos pocos orcos en cada una. Sin embargo` no fue fácil` pues los orcos eran muy fuertes. Pero Adun tenía un as bajo la manga y sabía que la mejor defensa es un buen ataque. Los orcos informaron de que los humanos se estaban defendiendo en su base` pero en realidad avanzaban cada vez más. ¿Quién crees que ganará?</t>
  </si>
  <si>
    <t>Вскоре люди начали упиваться своей победой. Вскоре все больше и больше новых орков выходили на поле боя. Казалось невозможным победить сотни орков. После славной битвы Адун имеет лишь дюжину мечников и лучников. Адуну повезло` что орки разрознены. Они` не дожидаясь прибытия других отрядов` сразу же вступают в бой. Так что Адуну не нужно сражаться с сотнями орков одновременно. Это просто битва против нескольких орков` повторяющаяся раз за разом. Хотя` даже это нелегко. Ведь орки очень сильны – война у них в крови. Адуну нужна другая стратегия. И он знал` что лучшая защита – это нападение. Орки сообщают` что люди защищаются на своей базе. Шаг за шагом` люди продвигаются всё дальше. Как вы думаете` кто же победит в этой битве?</t>
  </si>
  <si>
    <t>La victoire d'Adun ne dura point longtemps, les Orcs ayant réagi rapidement. Il suffit de quelques heures pour que d'autres Orcs rejoignent le champ de bataille. C'était impossible de gagner contre des centaines d'Orcs. À l'issue de la glorieuse bataille, il ne restait qu'une douzaine d'épéistes et d'archer parmis l'armée d'Adun. Heureusement pour lui, les Orcs étaient très énervés, et n'attendaient pas d'être rassemblés pour attaquer. La bataille fût donc plus simple, les Orcs venant se battre 2 par 2. Mais l'avantage des Orcs est leur force. Les Humains sont connus pour se défendre dans leur base, mais cette fois ils ont choisi l'attaque. Qui sortira victorieux d'après vous ?</t>
  </si>
  <si>
    <t>stage title story 0_3</t>
  </si>
  <si>
    <t>The Orcs were heavily damage from the last battle against humans. Khalan, the chief of the ocrs commanded to concentrate all the troops. It was time to face their biggest battle ever. But wait! Who is it? Someone with a strange mask shows up while laughing in a weird way. It took a few seconds before Adun recognized him. He is Lamington, the legendary hero that was kicked from the army for having an affair with a female orc. The stories tell that he was dead. But that is not true. He is alive and standing in front of Adun. Because he is a huge fan of this hero, Adun has so many questions for the hero. Why is he here? What is he doing here? Why is his mask so weird?</t>
  </si>
  <si>
    <t>오크는 지난 전투에서 큰 피해를 입었어. 그제서야 오크 족장인 칼란은 동족들을 한데 모았지. 맞아. 흥분한 칼란은 온동족을 모아서 역사상 가장 큰 전쟁을 벌이려고 하고있어! 근데 이게 누구야? 가면을 쓴 이상한자가 그들을 가로막았어. 이상한 웃음소리를 내면서 말이야. 하지만 아둔은 한 번에 그를 알아보았지. 그는 여성오크와 사랑에 빠져 휴먼족에게서 추방당한 레밍턴 장군이었어! 그가 죽었다는 소문이 돌았지만 사실이 아니었던게지. 살아있는 그가 지금 아둔의 눈앞에 서있으니까 말이야. 아둔은 어릴적부터 레밍턴을 동경해왔어. 궁금한게 너무도 많았지만 지금 가장 궁금한 건 하나였지. 그 멋있던 레밍턴이 왜 저런 이상한 가면을 쓰고 있는걸까?</t>
  </si>
  <si>
    <t>Los orcos salieron bastante malparados de su última batalla contra los humanos. Khalan` el jefe de los orcos` ordenó reunir a todas sus tropas. Sí. Era el momento de enfrentarse a la mayor batalla jamás vista. ¡Espera un momento! ¿Quién era ese? Un misterioso enmascarado apareció con una risa macabra. Adun lo reconoció enseguida. Se trataba de Lamington` el héroe legendario que fue expulsado del ejército por tener un romance con una orca. Las historias contaban que estaba muerto. Al parecer se equivocaban` porque estaba vivo y frente a Adun. Como Adun era un gran fan del héroe` tenía muchas preguntas que hacerle. ¿Por qué estaba allí? ¿Para qué? ¿Por qué la máscara era tan rara?</t>
  </si>
  <si>
    <t>Орки получают серьезный урон в последней битве против людей. Халан` вождь орков` приказывает сосредоточить все войска. Да! Настало время столкнуться в самой большой битве в истории. Но подождите! Кто это? Кто-то` скрываясь под странной маской и смеясь` появляется перед Адуном. Прошло всего несколько секунд` прежде чем Адун узнал его. Он - Ламингтон` легендарный герой` которого изгнали из армии за роман с женщиной-орком. История говорит` что он был мертв. Но это неправда. Он жив и стоит перед Адуном. У Адуна так много вопросов к герою. Почему он здесь? Что он здесь делает? Почему маска такая странная?</t>
  </si>
  <si>
    <t>Les Orcs avaient subit de gros dégâts durant la bataille précedente contre les humains. Khalan, le chef des Orcs ordonnait aux troupes de se raseembler. Il était temps pour la plus grande bataille qui ait jamais eu lieu. Mais attendez ! Qui est-ce ? Quelqu'un avec un masque arrive en riant bizzarement. Il ne fallut que quelques secondes à Adun pour le reconnaître. C'était Lamington, le héros légendaire qui avait été banni de l'armée pour avoir couché avec une Orc. On racontait qu'il était mort. Mais c'était faux. Il est vivant et se tient devant Adun. Étant un de ses admirateur, Adun souhaitait lui poser beaucoup de questions. Pourquoi est-il ici ? Que fait-il ici ? Pourquoi son masque est si bizarre ?</t>
  </si>
  <si>
    <t>stage title story 0_4</t>
  </si>
  <si>
    <t>Lamington is not bluffing. He actually has superior army. And his first target would be Orcs. Orcs are very aggressive and never pullback. But this time things are a bit different. The orcs are terrified. They fear not on the field. But when it comes to ghost and zombies they fear a lot. At that time Adun realized humans can’t defeat Lamington’s army either. Humans have to conclude an alliance with Orcs. He hates Orcs, but zombies are the worst.</t>
  </si>
  <si>
    <t>레밍턴의 말은 허풍이 아니었어. 정말로 그의 병력은 오크와 휴먼의 병력을 크게 상회하고 있었거든. 그리고 그 병력의 오크를 향해 가고 있었지. 오크는 용맹하고 전투에 있어서는 두려움을 몰랐지만 이 번엔 달랐어. 그 용맹하던 오크들이 겁을 먹었지. 죽는것도 두려워하지 않는 오크들도 무서운게 하나 있던거야. 바로 귀신들이지. 좀비도 그들이 보기엔 귀신같았던 거야. 오크들은 그들에게서 도망가기 바빴지. 같은 시간 아둔은 다른 생각을 하고 있었어. 레밍턴의 병력을 휴먼족만으로는 감당하기 어렵다는 걸 깨닫는데는 그리 오랜 시간이 걸리지 않았지. 레밍턴과의 전쟁을 이기기 위해선 오크와의 협력이 불가피하단 결론에 도달했던거야. 오크도 싫지만 좀비는 더 싫었거든.</t>
  </si>
  <si>
    <t>Lamington no iba de farol. Era cierto que su ejército era más grande que el de los orcos y los humanos. Y su primer objetivo serían los orcos. Los orcos eran muy agresivos y nunca se rinden` pero esta vez era diferente; estaban aterrorizados. No temían al campo de batalla` pero cuando se trata de fantasmas y zombis...se cagaban de miedo. En ese momento` Adun se dio cuenta de que tampoco era capaz derrotar al ejército de Lamington. Los humanos tenían que fundar una alianza con los orcos. Adun los odiaba` pero los zombis eran lo peor.</t>
  </si>
  <si>
    <t>Ламингтон не блефует. У него на самом деле армия превосходящая армии людей и орков вместе взятых. Его первой целью стали орки. Они очень агрессивны и никогда не отступают. Но на этот раз все немного по-другому. Орки в ужасе. Они не боятся войны. Но вот зомби` призраки` да` это ввергает их в ужас. Адун понимает` что ему не одолеть армию Ламингтона. Люди должны объединиться с орками` заключить с ними союз. Ненависть к оркам велика` но из двух зол выбирают меньшее.</t>
  </si>
  <si>
    <t>Lamington ne rigole pas. Il a effectivement une meilleure armée. Et sa première cible sera les Orcs. Les Orcs sont très agressifs et ne reculent jamais. Mais cette fois c'était différent. Les Orcs étaient terrifiés. Ils n'ont peur de rien sur le champ de bataille. Mais les fantômes et les zombies, c'était leur grande peur. À ce moment, Adun réalise que les Humains ne peuvent pas battre l'armée de Lamington non plus. Ils devront s'allier aux Orcs. Ils détestent les Orcs, mais les zombies sont une trop grande menace.</t>
  </si>
  <si>
    <t>stage title story 0_5</t>
  </si>
  <si>
    <t>So Adun saved the orc troops. They both hate each other. But not now. Now, they have a common enemy. There is a saying that the enemy of my enemy is my friend. Until the threat of zombies disappear, they decided to put all their power into killing all the zombies. Everything looks promising. But it wasn’t. He has no idea what’s coming next. Who’s he? Well` let’s find out.</t>
  </si>
  <si>
    <t>그래서 아둔은 오크족을 도와 좀비와의 첫 전투를 승리로 이끌었어. 그들은 당장이라도 서로에게 무기를 들이대고 싶었지만 지금은 그럴때가 아니란걸 알고 있었지. 지금은 공공의 적이 있거든. 적의 적은 나의 아군이란 말도 있지. 뭐 대부분은 그렇지 않지만.(키키) 아무튼 그들은 좀비의 위협이 사라질 때까지 불가침조약을 맺었어. 모든게 희망적이었지. 마치 오크와 휴먼간의 긴 전쟁이 끝난 것처럼 말이야.</t>
  </si>
  <si>
    <t>De modo que Adun salvó a las tropas orcas. Ambos se odiaban` pero no era el momento para ello` tenían un enemigo común. Según el dicho` el enemigo de mi enemigo es mi amigo. Decidieron no darse por vencidos hasta que acabaran con los zombis. Todo parecía prometedor... Nada más lejos de la realidad. Adun no tenía ni idea de lo que se le venía encima. ¿Qué sería? Bueno` vamos a averiguarlo.</t>
  </si>
  <si>
    <t>Адун спасает войска орков. Они оба ненавидят друг друга. Но сейчас не время для вражды. Новый враг стоит на пороге и одолеть его можно лишь совместными усилиями. Говорят` что враг моего врага - мой друг. И пока угроза зомби не исчезла` они решили использовать все свои силы` чтобы справиться с ней. Выглядит многообещающе. Но это не так. Он понятия не имеет` что будет дальше. Кто он? Ну` давай узнаем.</t>
  </si>
  <si>
    <t>Adun sauvit les troupes Orc. Ils se détestent mutuellement, mais pour l'instant, ils ont un ennemi commun. Il existe un proverbe : Les ennemis de mes ennemis sont mes amis. Jusqu'à la disparition de la menace zombie, ils allieront leurs forces pour tuer tous les Zombies. Tout semblait prometteur, mais ce n'était pas le cas. Il n'avait pas idée de ce qui allait arriver. Qui est 'il' ? Nous allons le découvrir.</t>
  </si>
  <si>
    <t>stage title story 0_6</t>
  </si>
  <si>
    <t>One of the orcs troop accidentally witnessed Lamington is crawling in to a house that looks like his shelter. Did they find his house? It that really Lamington’s house? It doesn’t matter. If they can catch him, the war is over. Nobody can possibly find a single reason to hesitate. Adun gathers good men and made them sneak into the zone.</t>
  </si>
  <si>
    <t>오크 병사 중 하나가 레밍턴이 어떤 집으로 들어가는 걸 목격했다는 소식이 들려왔어. 그게 레밍턴의 집인지 잠시 들른건지는 알 수 없었지. 하지만 만약 그게 레밍턴의 집이고 그가 휴식을 취할 때 습격해서 레밍턴을 저지하면 이 전쟁을 끝낼수도 있는 일이었지. 물론 함정일 수도 있어. 하지만 그냥 놓치기에는 너무 아까운 기회였지. 그 누구도 망설일 이유를 찾지 못했어. 아둔은 즉시 기동대를 편성하고 그 지역으로 침투했어. 하지만 그 길목에는 좀비들이 가득했지! 정말 그 집은 레밍턴의 주둔지인걸까?</t>
  </si>
  <si>
    <t>Una de las tropas orcas vio` casi sin quererlo` como Lamington se arrastraba hasta una casa que parecía ser su refugio. ¿Habrían encontrado su guarida? ¿Sería realmente la casa de Lamington? No importaba; si lo atrapaban` la guerra se acabaría. Nadie podía encontrar una razón para echarse atrás. Adun juntó a sus mejores hombres y se infiltraron en la zona.</t>
  </si>
  <si>
    <t>Один из отрядов орков` случайно увидевший Ламингтона` заползает в дом` похожий на его укрытие. Они обнаружили его логово? Это действительно дом Ламингтона? Это не имеет значения. Если они смогут его поймать` то война будет окончена. Нет причин колебаться. Адун собирает отряд и отправляет их пробраться туда.</t>
  </si>
  <si>
    <t>Une des troupes Orc a accidentellement vu Lamington rentré dans une maison qui semblait être son abri. Est-ce qu'ils l'ont trouvée ? Est-ce vraiment sa maison ? Ça n'avait pas d'importance. S'ils pouvont l'attraper, la guerre était finie. Personne n'avait de raison d'hésiter. Adun rassembla ses meilleurs hommes et les fit s'introduire dans la zone.</t>
  </si>
  <si>
    <t>stage title story 0_7</t>
  </si>
  <si>
    <t>The place they sneaked into was a trap. IT’S A TRAP! A swarm of zombies awaits them. It looks like there is no way out. A second before they gave up their lives, they saw a little light. God never gave up on them. The trap is in the forest which by the way looks really familiar to them. It was kind of a maze. Zombies stopped moving. Because they are not smart enough to find a way out. They have a final chance to save their lives.</t>
  </si>
  <si>
    <t>그들이 침투한 지역은 역시나 함정이었어. 좀비떼가 그들을 기다리고 있었지. 빠져나갈 구멍은 하나도 보이지 않았어. 전투를 포기하고 무기를 내려놓으려던 찰나! 그들은 한 줄기 빛을 보았지. 아직 신은 그들에게서 시선을 떼지 않았던게야! 그 곳은 수 년전 그들이 야영했던 장소와 가까웠지. 마치 미로같았던 그들의 야영지. 그 숲이라면 좀비들에게서 시간을 벌고 전열을 재정비 할 수 있다 판단하고 그들은 그 숲으로 향했어.</t>
  </si>
  <si>
    <t>El lugar en el que se infiltraron era una trampa. ¡UNA TRAMPA! Una plaga de zombis les esperaba. Parecía no haber escapatoria. Un instante antes de darse por vencidos` vieron una lucecilla. Dios no les había abandonado todavía. La trampa estaba en un bosque que les resultaba familiar` parecía un laberinto. Los zombis se detuvieron porque no eran lo suficientemente listos como para averiguar el camino. Tenían una última oportunidad de darle la vuelta a la tortilla.</t>
  </si>
  <si>
    <t>Место` куда они проникли` оказалось ловушкой. ЭТО ЛОВУШКА! Рой зомби поджидал их. Похоже` выхода нет. За миг до того` как они попрощались со своими жизнями` луч света пробился сквозь ветви. Бог никогда не покидал их. Ловушка располагалась в лесу` который` кстати` кажется им очень знакомым. Это был своего рода лабиринт. Зомби застыли` не в состоянии найти путь в нём. У отряда остался последний шанс переломить ситуацию в свою пользу.</t>
  </si>
  <si>
    <t>L'endroit où ils se sont introduits était un piège. C'EST UN PIÈGE ! Un essaim de zombies les attendait. Il ne semblait y avoir aucune issue. Mais peu avant d'abandonner l'idée de s'en sortir, ils apperçoivent une petite lumière. Dieu ne les avait pas abandonnés. Le piège se trouvait dans une fôret qui leur semblait familière. C'était une sorte de labyrinthe. Les Zombies avaient arrêté de bouger. Ils ne sont pas assez intelligents pour trouver la sortie. Il leur reste donc une chance de sauver leur vie.</t>
  </si>
  <si>
    <t>stage title story 0_8</t>
  </si>
  <si>
    <t>Humans just survived through the critical trap. But who knows what’s coming next? An unexpected situation is waiting for them. Orcs were killing each other. Adun’s jaw has dropped. And one of the axes flying over the field was heading to Adun! And right before the axe was about to make a knock knock joke on Adun’s head` someone hit the axe away and saved his life. It was Khalan. What happened to Orcs? It was a revolt. Some Orcs hated Humans way more than they did Zombies. Adun has no other option but help surpress the revolt.</t>
  </si>
  <si>
    <t>아둔은 겨우겨우 함정에서 빠져나왔어. 야영지에 있던 금광 때문에 더욱 강화된 병력과 함께 전장에서 당당히 돌아올 수 있었지. 하지만 이게 왠걸? 어처구니 없는 일들이 눈앞에 펼쳐지고 있는게 아니겠니? 오크들이 서로 싸우고 있던거야. 그러다 오크의 도끼가 아둔에게 날아오던 찰나에 칼란의 도끼가 날아와 아둔의 머리칼을 자르고 목을 향하던 도끼를 날려버렸어. 오크족 내에서 반란이 일어난거야. 좀비도 싫지만 휴먼족이 너무나도 싫었던 일부 오크족이 칼란에게 반기를 들었던게지. 좀비보다 휴먼이 더 싫은 오크도 있었던게야.</t>
  </si>
  <si>
    <t>Los humanos acababan de sobrevivir a una trampa mortal. Pero` ¿quién sabe qué vendría después? Una situación inesperada les aguardaba; los orcos se mataban entre ellos. Adun estaba perplejo. En ese momento` vio como un hacha orca se dirigía hacia su cabeza dispuesta a darle un beso de buenas noches` pero ` de repente` otra hacha orca se interpuso para salvarle la vida; era el de Khalan. ¿Qué pasaba con los orcos?. Simple. Algunos odian a los humanos más que a los zombis. Era una rebelión y a Adun no le quedaba otra que pararla.</t>
  </si>
  <si>
    <t>Отряду всё же удалось выжить в этой ловушке. Но кто знает` что будет дальше? Что-то непредсказуемое ждёт их. Орки убивали друг друга. У Адуна отвисла челюсть. Один из топоров летел прямо в Адуна! За миг до того` как топор собирался впиться в голову Адуна` кто-то взмахнул топором и спас ему жизнь. Это был Халан. Что твориться с орками? Это бунт? Некоторые орки ненавидели людей гораздо больше` чем зомби. У Адуна не осталось другого выбора` кроме как помочь подавить бунт.</t>
  </si>
  <si>
    <t>Les Humains ont tout juste survécu au piège. Mais qui sait ce qui se passera après ? Une situation innatendue les attends. Les Orcs s'entretuaient. Adun était bouche bée. Une des hâches lancées se dirigeait vers Adun. ! Et juste avant que la hâche vienne faire une blague 'Toc toc toc' sur le crâne d'Adun, quelqu'un a arrêté la hâche avant de repartir. C'était Khalan. Qu'était-il arrivé aux Orcs ? C'était une révolte. Certains Orcs détestaient plus les humains encore que les Zombies. Adun n'avait pas d'autre choix que d'aider à arrêter la rébellion.</t>
  </si>
  <si>
    <t>stage title story 0_9</t>
  </si>
  <si>
    <t>The revolt of the orcs is over with the help of the humans. But as I said, nobody knows what’s coming. This time, there is are problems in the army of the humans. A betrayer was helping Lamington. Why? Because he doesn’t like the fact that orcs and humans are getting along. He is so furious about that which is why he decided to help Lamington to extinguish orcs and humans on this planet. Sounds stuipid right?</t>
  </si>
  <si>
    <t>휴먼의 도움으로 오크족의 반란군을 모두 무력화시킬 수 있었어. 하지만 이 다음에 무슨 일이 일어날지는 아무도 모르는 일. 이번엔 휴먼족 내에서 분란이 있었던게야. 배신자가 몰래 레밍턴을 돕고 있었지. 왜냐구? 반란을 일으켰던 오크와 같은 이유야. 오크에게 부모를 잃은 많은 병사들은 오크와의 동맹을 받아들일 수가 없었지. 오크의 적이 되길 원했던 그들은 오크와 동맹을 맺은 휴먼이 아닌 오크의 적. 바로 좀비들의 편에 섰던 것이지. 정말 바보같은 생각 아니니?</t>
  </si>
  <si>
    <t>Se neutralizó la rebelión de los orcos gracias a los humanos. Pero` como he dicho` nadie sabía qué estaba pasando. Esta vez había un problema dentro del ejército de los humanos. Un traidor había estado ayudando a Lamington con su plan. ¿Por qué? Porque no le hacía ninguna gracia que orcos y humanos se llevasen bien. Estaba tan cabreado que decidió ayudar a Lamington a erradicar tanto a orcos como a humanos de este planeta. Qué tontería` ¿no?</t>
  </si>
  <si>
    <t>Восстание орков было остановлено с помощью людей. Но` как я уже говорил` никто не знает` что будет. В это время` в армии людей появилась проблема. Обнаружился предатель` помогавший воплощать план Ламингтона. Зачем? Ему не понравился факт того` что орки и люди ладят друг с другом. Это злит его` и он решил помочь Ламингтону уничтожить орков и людей на этой планете. Как же глупо` не так ли?</t>
  </si>
  <si>
    <t>La révolte des Orcs est terminée grâce à l'aide des Humains. Mais qui sait ce qui peut encore être à venir ? Cette fois, c'est dans l'armée des Humains qu'un problème eu lieu. Un traître aidait Lamington. Pourquoi ? Il ne supportait pas que les Humains et les Orcs s'allient. C'est pour cette raison qu'il s'est allié à Lamington pour supprimer les Orcs et les Humains. Stupide n'est-ce pas ?</t>
  </si>
  <si>
    <t>stage title story 0_10</t>
  </si>
  <si>
    <t>Now, there is no interruption in the war. Just Zombies vs human and orcs. At first, it looks like the zombies won't stop coming, they keep rising up from the earth. They are endless, but there is a hive of zombies. Without the hive they can’t continue infecting dead bodies. And it is in front of Adun’s army. It is not going to be easy. But it is something Adun must face.</t>
  </si>
  <si>
    <t>모든 분란이 사라지고 드디어 좀비와 오크 휴먼 동맹은 큰 전쟁을 앞두게 되었지. 휴먼과 오크는 좀비군대를 앞에 두고 생각했어. 처음엔 끝도 없어 보이던 좀비들이 지금도 끝도 없어 보이는거야! 사실이야 끝도 없어. 산사람은 물론 죽은 시체들까지 좀비로 일으켜세우니까 말이야. 하지만 멈출 수 있는 방법은 있지. 좀비 하이브. 그걸 없애면 시체들이 좀비화되는 걸 막을 수 있어. 그리고 아둔의 군대는 마침내 하이브 앞까지 도착했지. 이 전투가 쉽지는 않을꺼야. 하지만 피할 수도 없는 전투 이기도 하지.</t>
  </si>
  <si>
    <t>Ya no había nada que les parase los pies. Tan solo zombis contra la alianza de humanos y orcos. Al principio había tantos zombis que parecía que no pararan de salir del suelo. Y así era` eran incontables. Sin embargo vieron una colmena de zombis frente al ejército de Adun` si la destrozaban` dejaría de infectar a los cadáveres. No iba a ser fácil` pero era algo a lo que Adun tenía que enfrentarse.</t>
  </si>
  <si>
    <t>Но сейчас нет никаких помех между орками и людьми. Просто зомби против людей и орков. Сначала кажется` что зомби так много` что они никогда не перестанут подниматься из-под земли. И это так. Им нет конца. Но есть улей. Без улья они не смогут продолжать заражать мертвые тела. И он прямо перед армией Адуна. Это будет нелегко. Но Адун должен столкнуться с этим.</t>
  </si>
  <si>
    <t>Maintenant, plus rien ne viendra empêcher la guerre. Seulement les Zombies contre les Humains et les Orcs. À première vue, les Zombies ne cesseront jamais de venir, toujours plus de Zombies sortent du sol. C'est sans fin, mais il existe une rûche. Sans la rûche ils ne peuvent plus infecter les cadavres. Cette rûche est face à l'armée d'Adun. Ce ne sera pas facile, mais Adun doit y faire face.</t>
  </si>
  <si>
    <t>stage title story 0_11</t>
  </si>
  <si>
    <t>The hive of Zombies is gone. No more fresh zombies are rising. Smashing the remaining zombies will save the world. And maybe another war will begin between humans and orcs. But Adun is thinking the orcs might change after this battle. Maybe they can live in peace just like they do now. Adun is running towards the Zombies with a smile on his face thinking about a world without war. But the biggest war in the history is over after this battle. Nobody knows what’s next.</t>
  </si>
  <si>
    <t>좀비 하이브가 사라졌어! 아둔의 전략이 성공한거지. 더 이상 싱싱한 좀비는 만들어지지 않을꺼야. 눈에 보이는 좀비들만 뭉개버리면 다시 좀비없는 세상이 오는거지. 좀비가 없는 세상에는 다시 오크와 휴먼의 전쟁이 자리를 잡겠지만. 아둔은 한 가지 희망을 가지고 있었어. 이 전투 후에 같이 싸운 서로를 동료로서 맞이하고 영원한 동맹을 맺는 희망 말이야! 지금처럼 어깨를 나란히 한 채 살아가는 휴먼과 오크를 생각하며 아둔은 요상한 미소를 머금은 채 좀비들을 향해 돌진했어. 이 전투가 세상의 마지막 전투이길 바라며! 어리석게도 말이야.</t>
  </si>
  <si>
    <t>La colmena de zombis fue destruida. No aparecían nuevos zombis` solo aplastar a los que quedaban salvaría el mundo. Y probablemente otra guerra entre orcos y humanos empezaría. Aunque Adun pensaba que los orcos podían cambiar tras esta batalla y` quizás` pudieran convivir como lo hacían en ese momento. De manera que se abalanzó contra los zombis con una sonrisa en la cara al pensar en un mundo sin guerras. Sin embargo` la mayor guerra de la historia aguardaba tras esta batalla. Nadie sabía qué sería lo próximo.</t>
  </si>
  <si>
    <t>Улей зомби ушел. Новым зомби теперь неоткуда взяться. Осталось просто истребить их остатки и это спасёт мир. И` возможно` начнется еще одна война между людьми и орками. Но Адун считает` что орки возможно изменятся после этой битвы. Быть может` они смогут жить так же` как сейчас` без распрей между народами. Итак` Адун бежит к зомби с улыбкой на лице` думая о мире без войны. Но эта война войдёт в историю как самая великая. Никто не в состоянии предсказать` что будет дальше.</t>
  </si>
  <si>
    <t>La rûche de Zombies est disparue. Plus aucun Zombie ne sort du sol. Après avoir tué les Zombies existants, le monde est sauvé. Peut-être qu'une autre guerre entre les Humains et les Orcs aura lieu. Mais Adun pense que les Orcs pourraient changer après cette bataille. Peut-être pourront-ils vivre en paix comme ils le font actuellement. Adun court vers les Zombies avec un sourire sur son visage en pensant à un monde sans guerre. Mais la plus grande guerre de l'histoire se finit après cette bataille. Personne ne sait ce qui va suivre.</t>
  </si>
  <si>
    <t>stage title 1_0</t>
  </si>
  <si>
    <t>Beginning of the second war</t>
  </si>
  <si>
    <t>2차 전쟁의 시작</t>
  </si>
  <si>
    <t>Inicio de la segunda guerra.</t>
  </si>
  <si>
    <t>Начало второй войны</t>
  </si>
  <si>
    <t>Début de la seconde guerre</t>
  </si>
  <si>
    <t>stage title 1_1</t>
  </si>
  <si>
    <t>Suspicious Orcs</t>
  </si>
  <si>
    <t>수상한 오크</t>
  </si>
  <si>
    <t>Orcos sospechosos</t>
  </si>
  <si>
    <t>Подозрительные Орки</t>
  </si>
  <si>
    <t>Orcs suspicieux</t>
  </si>
  <si>
    <t>stage title 1_2</t>
  </si>
  <si>
    <t>Weird Human beings</t>
  </si>
  <si>
    <t>이상한 휴먼</t>
  </si>
  <si>
    <t>Seres humanos raros</t>
  </si>
  <si>
    <t>Странные люди</t>
  </si>
  <si>
    <t>Humains étranges</t>
  </si>
  <si>
    <t>stage title 1_3</t>
  </si>
  <si>
    <t>A stupid man</t>
  </si>
  <si>
    <t>멍청한 남자</t>
  </si>
  <si>
    <t>Un hombre estupido</t>
  </si>
  <si>
    <t>Глупый человек</t>
  </si>
  <si>
    <t>Un imbécile</t>
  </si>
  <si>
    <t>stage title 1_4</t>
  </si>
  <si>
    <t>Zombies again</t>
  </si>
  <si>
    <t>다시 나타난 좀비</t>
  </si>
  <si>
    <t>Zombies de nuevo</t>
  </si>
  <si>
    <t>Опять зомби</t>
  </si>
  <si>
    <t>Encore les zombies</t>
  </si>
  <si>
    <t>stage title 1_5</t>
  </si>
  <si>
    <t>Betrayers again</t>
  </si>
  <si>
    <t>또 다른 반란</t>
  </si>
  <si>
    <t>Traidores de nuevo</t>
  </si>
  <si>
    <t>Опять предатели</t>
  </si>
  <si>
    <t>Encore des traîtres</t>
  </si>
  <si>
    <t>stage title 1_6</t>
  </si>
  <si>
    <t>Overwhelming</t>
  </si>
  <si>
    <t>위기</t>
  </si>
  <si>
    <t>Abrumador</t>
  </si>
  <si>
    <t>Подавляющий</t>
  </si>
  <si>
    <t>Accablant</t>
  </si>
  <si>
    <t>stage title 1_7</t>
  </si>
  <si>
    <t>Another alliance</t>
  </si>
  <si>
    <t>또 한 번의 동맹</t>
  </si>
  <si>
    <t>Otra alianza</t>
  </si>
  <si>
    <t>Еще один альянс</t>
  </si>
  <si>
    <t>Une autre alliance</t>
  </si>
  <si>
    <t>stage title 1_8</t>
  </si>
  <si>
    <t>Reconstruction</t>
  </si>
  <si>
    <t>재건</t>
  </si>
  <si>
    <t>Reconstrucción</t>
  </si>
  <si>
    <t>Реконструкция</t>
  </si>
  <si>
    <t>stage title 1_9</t>
  </si>
  <si>
    <t>A spy</t>
  </si>
  <si>
    <t>첩자</t>
  </si>
  <si>
    <t>Un espía</t>
  </si>
  <si>
    <t>Шпион</t>
  </si>
  <si>
    <t>Espion</t>
  </si>
  <si>
    <t>stage title 1_10</t>
  </si>
  <si>
    <t>Frontline</t>
  </si>
  <si>
    <t>전선</t>
  </si>
  <si>
    <t>Le front</t>
  </si>
  <si>
    <t>stage title 1_11</t>
  </si>
  <si>
    <t>End of Numan</t>
  </si>
  <si>
    <t>뉴먼의 마지막</t>
  </si>
  <si>
    <t>Fin de Numan</t>
  </si>
  <si>
    <t>Конец Нумана</t>
  </si>
  <si>
    <t>La fin de Numan</t>
  </si>
  <si>
    <t>stage title story 1_0</t>
  </si>
  <si>
    <t>The threat from the horde of zombies vanished. Humans and orcs started a war again. But it was a bit different than before. Khalan, the chief of the orcs, still think humans are naughty because they destroy nature. But he was surprised that they didn’t notice it themselves. So he started to think Humans are not only naughty but also stupid.</t>
  </si>
  <si>
    <t>거대한 좀비 떼의 위협이 사라졌다. 그리고 휴먼과 좀비 간의 전쟁은 다시 시작되었다. 하지만 이번엔 오크의 족장인 칼란의 생각이 조금 바뀌었다. 휴먼족이 못되처먹었다는 사실에는 변함이 없으나. 그들이 자연을 해치고 있다는 것을 자각하지 못하고 있다는 사실에 그들은 더 놀란 것이다.</t>
  </si>
  <si>
    <t>Una amenaza de una horda de zombies desapareció. Y los humanos y los orkos comenzaron una guerra de nuevo. Pero fue un poco diferente de antes. Khalan, el jefe de Orc, todavía piensa que los humanos son malos para destruir la naturaleza. Pero se sorprendió de que no notaran que habían estado destruyendo la naturaleza. Así que comenzó a pensar que los humanos no solo son traviesos, sino también estúpidos.</t>
  </si>
  <si>
    <t>Угроза от орды зомби исчезла. И война между человеком и зомби началась снова. Но в этот раз все было несколько иначе. Калан, вождь Орков, все еще считает что люди отвратительны и уничтожают природу. Но он был удивлен что они не осознают то, что наносят вред природе. Поэтому Калан начал считать людей не только отвратительными, но и тупыми.</t>
  </si>
  <si>
    <t>La menace zombie a disparue. Les Humains et les Orcs se font à nouveau la guerre. Mais c'est différent maintenant. Khalan, chef des Orcs, pense toujours que les humains sont méchants parce qu'ils détruisent la nature, mais les humains ne s'en rendent même pas compte. Il se mit donc à penser qu'en plus d'être méchants, ils sont stupides.</t>
  </si>
  <si>
    <t>stage title story 1_1</t>
  </si>
  <si>
    <t>Khalan was taking a walk during dawn. While he was walking, he found a few orcs that were acting weird. Some of them seem surprised to see Khalan. And some of them were hiding behind the trees. They looked like human rangers who hunt orcs. And finally he witnessed weird Orcs attacking other Orcs. Khalan was furious about what happened in front of his eyes. So he decided to kill the orcs who attacked its own family.</t>
  </si>
  <si>
    <t>아침 산책 중이던 칼란에게 수상한 행동을 하는 오크들이 눈에 띄었다. 어떤 오크는 칼란과 마주쳤을 때 놀라서 도망가는 오크도 있었고 오크들만 다니는 길목에 잠복해있는 오크들도 있었다. 마치 그들이 동족인 오크를 사냥하려는 것처럼. 이내 칼란은 동족을 공격하는 오크를 목격한다. 분노에 찬 칼란은 동족에게 무기를 든 오크들을 전부 잡으라는 명령을 내린다.</t>
  </si>
  <si>
    <t>Khalan estaba dando un paseo al amanecer. Durante la caminata 'encontró pocos orcos que actúan de manera extraña. Algunos de ellos parecen sorprendidos de ver a Khalan. Y algunos de ellos se escondían detrás de los árboles. Parecían los rangers humanos que cazan orcos. Y finalmente fue testigo de extraños orcos atacando a otros orcos. Khalan estaba furioso por lo que pasó frente a sus ojos. Así que decidió acabar con los orcos que atacaron a su propia familia.</t>
  </si>
  <si>
    <t>Калан прогуливался на рассвете. Во время этого он заметил несколько подозрительно ведущих себя орков. Некоторые из них были удивлены видеть Калана. А некоторые из них прятались за деревьями. Как будто они охотились на своих собственных орков. И наконец Калан становится свидетелем нападения странных орков на других орков. Калан в гневе приказывает уничтожить орков, которые напали на свою собственную семью.</t>
  </si>
  <si>
    <t>Khalan se promenait au crépuscule. Mais il trouva quelques Orcs qui agissaient bizarrement. Certains étaient surpris de voir Khalan. D'autres se cachaient derrière les arbres. Ils ressemblaient à des gardes Humains qui chassaient des Orcs. Finalement il vît des Orcs bizarres attaquer d'autre Orcs. Khalan était furieux à cause de ce qui s'était passé sous ses yeux. Il décide donc de tuer les Orcs qui ont attaqué.</t>
  </si>
  <si>
    <t>stage title story 1_2</t>
  </si>
  <si>
    <t>Khalan was scouting for a new outpost when he found something strange. Human workers are carrying lumbers to the Orcs HQ. That was not possible. Because Orcs have a rule that they do not enslave human beings. Captured humans were either killed or released. What happend?</t>
  </si>
  <si>
    <t>칼란은 전진 기지 배치를 위해 정찰을 가고 있었다. 그런데 그곳에서 이상한 휴먼을 발견하였다. 일꾼들이 나무를 베어 오크의 움막으로 들어가는게 아닌가? 칼란은 두 눈을 의심했다. 인간이 오크를 위해 일한다는 건 있을 수 없는 일이기 때문이다. 오크는 휴먼을 잡으면 판결을 내려 나쁜 휴먼은 죽이고 그렇지 않는 휴먼은 풀어주는 것이 규율이 있었기 때문이다. 도대체 무슨일일까?</t>
  </si>
  <si>
    <t>Khalan estaba buscando un nuevo puesto de avanzada. Y encontró algo extraño. Los trabajadores humanos están transportando madera a la sede de los Orcos. Eso no fue posible. Porque los orcos tienen una regla que no esclavizan al ser humano. Ser humano capturado fue asesinado o puesto en libertad. ¿Lo que pasó?</t>
  </si>
  <si>
    <t>Калан разведывал место для нового аванпоста. И он обнаружил там что-то странное. Человеческие рабочие несли древесину в хижины орков.Это было невозможно. У орков было правило не держать в рабстве людей. Захваченных людей или убивали или отпускали. Что же произошло?</t>
  </si>
  <si>
    <t>Khalan cherchait un endroit où construire un avant-poste quand il découvre quelque chose de bizarre. Des ouvriers Humains transportaient du bois vers un QG d'Orcs. C'était irréel. Les Orcs ont pour règle de ne pas esclavagiser les Humains. Les Humains qui étaient capturés étaient soit tués, soit relachés.Que s'est-il passé ?</t>
  </si>
  <si>
    <t>stage title story 1_3</t>
  </si>
  <si>
    <t>Before he could calm down from orcs attacking their own family, a strange human approached him. His name was Justin. He said that there are humans that don't like other humans who destroyed the forest. He wanted Khalan to help Justin’s army to attack the mean Humans. But Khalan did not believe him. And he kicked him out.</t>
  </si>
  <si>
    <t>동족을 공격하는 오크에게 놀란 가슴이 진정되기도 전에 이상한 휴먼이 칼란에게 다가왔다. 그는 자신을 저스틴이라 소개했다. 자연을 해치는 인간들에게 반기를 든 인간들이 있다며 오크에게 동맹을 요청하였다. 칼란은 저스틴이 자신을 속이려는 수작이라 생각하고 저스틴을 겁주어 내쫓았다. 이상한 일들이 자꾸 생기자 칼란의 머리속은 복잡해졌다.</t>
  </si>
  <si>
    <t>Antes de que su corazón se calmara de los orcos que atacan a su propia familia, un humano extraño se le acercó. Su nombre era Justin. Dijo que hay humanos a quienes no les gustan otros humanos que destruyeron el bosque. Así que quería que Khalan ayudara al ejército de Justin a atacar a los humanos humildes. Pero Khalan no lo creyó. Y él lo echó.</t>
  </si>
  <si>
    <t>Не успел Калан оправится от орков, напавших на его собственных людей, как к нему пришел странный человек. Его имя было Джастин. Он рассказал, что есть люди которые восстали против людей, которые наносят вред природе. И он хотел, чтобы Калан помог его армии напасть на злых людей. Но Калан не поверил этому и выгнал его.</t>
  </si>
  <si>
    <t>Avant qu'il ne puisse se remettre de la révolte de certains Orcs, un Humain étrange l'approcha. Son nom était Justin. Il lui dit que certains Humains n'aimaient pas les Humains qui détruisent la forêt. Il voulait que Khalan aide l'armée de Justin à attaquer l'armée des méchants Humains. Mais Khalan ne l'a pas cru, et l'a banni.</t>
  </si>
  <si>
    <t>stage title story 1_4</t>
  </si>
  <si>
    <t>The threat from the horde of zombies had vanished. But that does not mean that all zombies are killed. That is impossible. And Khalan had to fight against those zombies too. And he knows how.</t>
  </si>
  <si>
    <t>거대 좀비의 위협은 없어졌지만 모든 좀비들이 사라진건 아니었다. 소수의 좀비들은 어디서나 발생하였다. 그러다 조금 큰 무리의 좀비들도 생겨나기 시작했다. 꽤 넓은 지역을 오가는 칼란 역시 그것들과 마주할 수 밖에 없었다.</t>
  </si>
  <si>
    <t>Una amenaza de una horda de zombies desapareció. Pero eso no significaba que todos los zombies fueran distinguidos. Eso es imposible. Y Khalan tuvo que luchar contra esos zombies también. Y él sabe cómo.</t>
  </si>
  <si>
    <t>Угроза орды зомби исчезла, но это не означало, что все зомби исчезли. Это невозможно. И Калану пришлось бороться с этими зомби тоже. И он знал как это сделать.</t>
  </si>
  <si>
    <t>La menace qu'était la horde de Zombies avait disparu. Mais ça ne voulait pas dire que tous les Zombies avaient été éliminés. C'est impossible. Et Khalan devait combattre les Zombies lui aussi. Mais il savait comment s'y prendre.</t>
  </si>
  <si>
    <t>stage title story 1_5</t>
  </si>
  <si>
    <t>Weird orcs and strange humans appeared to have a huge alliance. They have something in common, Both of them want to take advantage of Nature. And it looked like it wasn’t easy to take them down.</t>
  </si>
  <si>
    <t>수상한 오크와 이상한 휴먼의 움직임은 결국 거대한 반란군 연합을 형성하였다. 자연을 발판삼아 번성하는 길을 택한 자들이 자연과 함께 살아가길 원하는 자들에게 반기를 든것이다. 준비없이 맞이하게 된 이 거대한 반란은 쉽게 잠재울 수 있는 것이 아니었다.</t>
  </si>
  <si>
    <t>Orcos extraños y humanos extraños parecían ser una gran alianza. Esos tienen algo en común. Ambos querían aprovechar la naturaleza. Y parecía que no era fácil derribarlos.</t>
  </si>
  <si>
    <t>Подозрительные Орки и странные Люди в конечном итоге сформировали огромную повстанческую коалицию. Те, кто выбрал путь процветания, основанный на природе, восстали против тех, кто хочет жить с природой. Это массовое восстание, которое было произведено без подготовки, было нелегко подавить.</t>
  </si>
  <si>
    <t>Les Orcs bizarres et les Humains étranges semblaient avoir créé une énorme alliance. Ils avaient un point commun : vouloir prendre avantage de la nature. Et ils ne semblaient pas simples à annihiler.</t>
  </si>
  <si>
    <t>stage title story 1_6</t>
  </si>
  <si>
    <t>Khalan, who was pushed by the rebels, became a fugitive. But Khalan is still considered a hero to many orcs. The Orcs that support Khalan's will wanted to be his army, it was not difficult to find such an orcs. Khalan started to re-build his force with the other orcs.</t>
  </si>
  <si>
    <t>반란군에게 밀린 칼란은 도망자 신세가 되었다. 하지만 칼란은 아직 많은 오크족에겐 영웅으로 받아들여지고 있다. 칼란의 뜻을 지지하는 오크족은 그에게 힘이 되길 원했고 그런 오크를 발견하는 일은 그리 어렵지 않았다. 칼란은 꺽이지 않는 창 한 자루를 가슴에 품고 반란군을 몰아내기 위한 작전에 돌입한다.</t>
  </si>
  <si>
    <t>Khalan, quien fue empujado por los rebeldes, se convirtió en un fugitivo. Pero Khalan todavía es aceptado como un héroe para muchos orcos. Los orcos que apoyan la voluntad de Khalan querían ser su fuerza y no era difícil encontrar un orco así. Khalan comenzó a reconstruir su fuerza con los otros orcos.</t>
  </si>
  <si>
    <t>Каран, которого толкнули повстанцы, стал беглецом. Но Калан все еще считается героем для многих орков. Орки, поддерживающие волю Калана, хотели быть с ним, и найти такого орка было несложно. Калан начал планировать выгнать повстанцев.</t>
  </si>
  <si>
    <t>Khalan, banni par les rebelles, devient un fugitif. Mais beaucoup d'Orcs continuent à le considérer comme un héros. Ces derniers souhaitaient faire partie de son armée. Khalan n'eu pas beaucoup de difficulté à reconstruire une armée.</t>
  </si>
  <si>
    <t>stage title story 1_7</t>
  </si>
  <si>
    <t>The orc Rebellion, which were allied with some of the humans, were not easily overtaken. Justin appeared once again in front of Khalan, who was struggling. It was the human main army, not a small force. And it is not easy to take control of that army and the orc Rebellion. Once again, Justin suggested an alliance to Khalan. And Khalan could not refuse it.</t>
  </si>
  <si>
    <t>일부 휴먼족과도 동맹을 맺은 오크 반란군은 좀처럼 쉽게 따라잡을 수 없는 규모였다. 고심하던 칼란의 앞에 저스틴이 다시 한 번 나타난다. 오크 반란군과 손을 잡은건 휴먼의 일부가 아닌 주정권이고 휴먼의 주병력과 오크 반란군을 제압하는 일은 쉽지 않을 것이라 했다. 자신과 손을 잡으면 이를 타개할 방법이 있다며 다시 한 번 저스틴은 칼란에게 동맹을 제안했고. 칼란은 이를 거절할 수 없었다.</t>
  </si>
  <si>
    <t>La Rebelión de los Orcos, que también estaba aliada con algunos de los Humanos, no fue superada fácilmente. Justin apareció una vez más frente a Khalan, quien estaba luchando. Es el principal régimen de los humanos, no una pequeña fuerza. Y no es fácil tomar el control del régimen principal del Humano y la Rebelión de los Orcos. Una vez más, Justin sugirió una alianza a Khalan. Y Khalan no pudo rechazarlo.</t>
  </si>
  <si>
    <t>Восстание Орков, которое также было связано с некоторыми из Людей, было нелегко подавить. Джастин снова появляется перед Каланом, который боролся. Это не основной режим, который является частью Человека, и нелегко взять под контроль Человеческое Большинство и Восстание Орков. Еще раз, Джастин предложил союз с Каланом. Калан не мог отказаться от этого.</t>
  </si>
  <si>
    <t>La rébellion des Orcs, qui s'étaient alliés à certains Humains, n'étaient pas simple à devancer. Justin apparût une fois de plus à Khalan, qui luttait. C'était l'armée Humaine, pas une simple petite escouade. Ce n'était pas facile de prendre le contrôle de l'armée et s'occuper de la rébellion des Orcs. Une fois de plus, Justin proposa une alliance à Khalan. Et il ne pouvait pas refuser.</t>
  </si>
  <si>
    <t>stage title story 1_8</t>
  </si>
  <si>
    <t>Justin told Khalan to get resources first. And once they gathered their troops and put half of the army as an outpost, they recognized it as a full-scale war and some of the main forces of humanity would be supported. He ordered the other half to attack the castle of humanity. While the human army is dispersed, Justin would arrest the king and take control. Human soldiers who went to support the orc Rebellion also promised that if the regime changed, they would become Justin's army and promised to help them overcome the orc rebellion.</t>
  </si>
  <si>
    <t>저스틴은 칼란에게 먼저 자원을 확보하라 말하였다. 그리고 병력을 모아 절반의 군사를 반란군 전초기지로 처들어가면 이를 전면전으로 인식하고 휴먼의 주병력 중 일부도 지원을 가게 될 것이라 하였다. 그리고 나머지 절반의 병력으로 휴먼의 성를 공격하라 지시했다. 병력이 분산된 휴먼군은 성방어에 정신이 없는 틈을 타서 저스틴은 왕을 체포하고 정권을 잡을 것이라 했다. 오크 반란군의 지원을 나갔던 휴먼의 군사들 역시 정권이 바뀌면 저스틴의 군사가 될 것이라며 이 후 오크 반란군을 제압하도록 도와줄 것이라는 약속을 했다.</t>
  </si>
  <si>
    <t>Justin le dijo a Khalan que primero obtuviera recursos. Y cuando reunieron a sus tropas y pusieron a la mitad del ejército como un puesto de avanzada, lo reconocieron como una guerra a gran escala y se apoyaría a algunas de las principales fuerzas de la humanidad. Y ordenó a la otra mitad atacar el castillo de la humanidad. Mientras el Ejército Humano está disperso, Justin arrestaría al rey y tomaría el régimen. Los soldados humanos que fueron a apoyar a la Rebelión Orca también prometieron que si el régimen cambiaba, se convertirían en el ejército de Justin y prometieron ayudarlos a superar al rebelde Orco.</t>
  </si>
  <si>
    <t>Джастин сказал Калану сначала получить ресурсы. И когда они собрали свои войска и поместили половину армии в качестве форпоста, они признали ее полномасштабной войной, и некоторые из основных сил человечества будут поддержаны. И приказал другой половине атаковать замок Человечества. Человек с децентрализованной человеческой расой был пойман в духе неповиновения, и Джастин сказал, что он арестует короля и захватит режим. Люди-солдаты, которые пошли поддержать Восстание Орков, также пообещали, что если режим изменится, они станут армией Джастина и пообещали помочь им победить повстанцев Орков.</t>
  </si>
  <si>
    <t>Justin dis à Khalan de récolter des ressources tout d'abord. Une fois leurs troopes rassemblées et la moitié de l'armée placée à un avant-poste, ils reconnaissent qu'il s'agit d'une guerre à grande échelle, et qu'ils devront soutenir une partie de l'armée des Humains. Il ordonne à la seconde moitié de l'armée d'attaquer le château Humain. Pendant que l'armée était dispersée,Justin allait arrêter le Roi et prendre le contrôle. Les soldats Humains de l'armée de Justin ont promis que, si le régime changeait, ils aideraient à vaincre la rébellion Orc</t>
  </si>
  <si>
    <t>stage title story 1_9</t>
  </si>
  <si>
    <t>One day, one of the human soldiers came to Khalan. He said Justin was fooling Khalan. After Khalan helped Justin take control of goverment, he said Justin would not help the orc to suppress the rebels. After hearing this, Khalan, who was upset and ordered the whole army to advance.</t>
  </si>
  <si>
    <t>어느날 휴먼의 병사 중 한 명이 칼란을 찾아왔다. 그는 저스틴이 칼란을 속이고 있다고 했다. 칼란이 저스틴을 도와 저스틴이 정권을 장악하면 그 후 오크가 반란군을 제압하는데 도움을 주지 않고 방관할 것이라 말했다. 이 말을 듣고 분노한 칼란은 전군에게 진격을 명령했다.</t>
  </si>
  <si>
    <t>Un día, uno de los soldados humanos vino a Khalan. Dijo que Justin estaba engañando a Khalan. Después de que Khalan ayudó a Justin a tomar el control del gobierno, dijo que Justin no ayudaría a Orc a reprimir a los rebeldes. Al escuchar esto, Khalan, que estaba molesto, ordenó a todo el ejército avanzar.</t>
  </si>
  <si>
    <t>Однажды один из людей-солдат пришел в Калан. Он сказал, что Джастин дурачит Калана. Если Калан помогает Джастину, Джастин становится королем. После этого солдат сказал, что Джастин будет наблюдать, не помогая орку свергнуть повстанцев. Услышав это, Калан, который был расстроен, приказал всей армии продвигаться вперед.</t>
  </si>
  <si>
    <t>Un jour, un des soldats Humains vint à Khalan pour lui dire que Justin le dupait, et que Justin ne l'aiderait pas à vaincre la rébellion Orc. Après avoir entendu ça, Khalan ordonna à tout l'armée de s'avancer.</t>
  </si>
  <si>
    <t>stage title story 1_10</t>
  </si>
  <si>
    <t>Listening to the false report of the Human Spy, the uplifting army of Khalan arrived at the outpost of the Orc Rebels. Khalan did not believe Justin and did not believe the spy. The confused Khalan thought the only way he can choose is to defeat the orc rebels without help from the humans. Hearing this news, the Lords main powers also participated in helping the orc Rebels. Justin was able to take control of Vinhuman's castle, but he decided to help Khalan instead of taking control of the regime and ran to the battlefield.</t>
  </si>
  <si>
    <t>휴먼 첩자의 거짓 보고를 듣고 진격한 칼란의 군대가 도착한 곳은 오크 반란군의 본거지였다. 칼란은 저스틴도 믿지 않고 첩자의 말도 믿지 않았다. 혼란스러웠던 칼란이 선택할 수 있는 유일한 방법은 휴먼의 도움 없이 오크 반란군을 제압하는 것이었다. 이 소식을 들은 휴먼의 주병력도 오크 반란군의 돕기 위해 출전했다. 빈 휴먼의 성을 쉽게 장악할 수 있는 저스틴이었지만 그는 정권장악 대신 칼란을 돕기로 하고 전장으로 달려간다.</t>
  </si>
  <si>
    <t>Escuchando el informe falso del espía humano, el ejército edificante de Khalan llegó al puesto de avanzada de los rebeldes orcos. Khalan no creía en Justin y no creía al espía. El confundido Khalan pensó que la única forma en que puede elegir es derrotar a los rebeldes orcos sin la ayuda de un humano. Al escuchar esta noticia, los poderes principales del Señor también participaron en ayudar a los rebeldes orcos. Justin pudo tomar el control del castillo de Vinhuman, pero decidió ayudar a Khalan en lugar de tomar el control del régimen y corrió al campo de batalla.</t>
  </si>
  <si>
    <t>Прислушиваясь к ложному сообщению Человека-шпиона, прибытие возрождающейся армии Калана стало домом повстанцев-орков. Калан не верил в Джастина и не верил шпиону. Смущенный Калан был единственным способом победить повстанцев-орков без помощи человека. Услышав эту новость, главные силы Господа также участвовали в оказании помощи повстанцам орков. Джастин смог взять под контроль замок Винхумана, но он решил помочь Калану вместо того, чтобы взять контроль над режимом, и побежал на поле битвы.</t>
  </si>
  <si>
    <t>Suivant la fausse information de l'espion Humain, l'armée de Khalan arrive à l'avant-poste des rebelles Orcs. Khalan ne croyait plus ni Justin ni l'espion. Il se dit donc que le seul moyen d'avancer serait de vaincre les rebelles Orcs sans l'aide des Humains. Justin réussit à prendre le contrôle du château Humain, mais décide d'aller aider Khalan plutôt que de prendre le contrôle du régime Humain et court vers le champ de bataille.</t>
  </si>
  <si>
    <t>stage title story 1_11</t>
  </si>
  <si>
    <t>The orcs had a tribe called goblins. The goblins entered into an alliance with the orcs in accordance with the Peace Treaty, but the goblins, having no combat capabilities, had to provide labor for the orcs. Goblin Newman, who was unhappy with this, planned to organize an alliance with full-fledged People to cancel this arrangement and expel him. And because of the false information, the plan to involve Kalan and Justin in the fight against each other is failure and ultimately a full-scale war.</t>
  </si>
  <si>
    <t>오크족은 고블린이라는 종족을 산하에 두고 있었다. 고블린은 평화협정 아래 오크족과 동맹을 맺었지만 전투 능력이 부족한 고블린은 오크족을 위해 노동력을 제공하는 것이 전부였다. 이것이 불만이었던 고블린 뉴먼은 이 판을 뒤집기 위해서 사리사욕 충만한 휴먼족과의 동맹을 맺고 칼란을 몰아낼 계획을 세웠던 것이다. 그리고 칼란에게 첩자를 보내 쉽게 칼란과 저스틴을 제압하려던 계획이 실패로 돌아가고 결국 전면전을 펼치게 된다.</t>
  </si>
  <si>
    <t>Los orcos tenían una tribu llamada duendes. Goblin formó una alianza con los orcos de acuerdo con el Tratado de Paz, pero el goblin, al no tener capacidad de combate, tenía que proporcionar trabajo para los orcos. Goblin Newman, quien no estaba contento con esto, planeó organizar una alianza con People en toda regla para cancelar esta edición y expulsarlo. Y debido a la información falsa, el plan para involucrar a Kalan y Justin en la lucha uno contra el otro es un fracaso y, en última instancia, una guerra a gran escala.</t>
  </si>
  <si>
    <t>У орков было племя, называемое гоблинами. Гоблин вступил в союз с орками в соответствии с Мирным договором, но гоблин, не имея боевых возможностей, должен был обеспечить рабочую силу для орков. Гоблин Ньюман, который был недоволен этим, планировал организовать альянс с полноценными Людьми, чтобы отменить это издание и изгнать его. И из-за ложной информации, план привлечь Калана и Джастина к борьбе друг с другом - провал и в конечном итоге полномасштабная война.</t>
  </si>
  <si>
    <t>Les Orcs avaient une tribu appellée Gobelins. Les Gobelins avaient conclu une alliance avec les Orcs en accord avec le Traité de Paix. Mais les Gobelins ne pouvait pas se battre, et devaient donc travailler pour les Orcs. Le Gobelin Newman n'était pas heureux dans cette situation, et organise une alliance avec des Humains afin de renverser la situation. Mais l'espion ayant échoué à créer une rivalité entre Khalan et Justin, la guerre continua.</t>
  </si>
  <si>
    <t>tutorial 0</t>
  </si>
  <si>
    <t>Sweety. Welcome to the battlefield. I will teach you how to battle. Select a worker. Look at the left side of this talk box. Workers look like this. Select one of them.</t>
  </si>
  <si>
    <t>어서오렴. 전장에 온 걸 환영한다. 지금부터 뭘 어찌 해야되는지 가르쳐줄께. 우선 일꾼을 선택해보아라. 이 대화상자 왼쪽에 그림이 보이지? 저게 일꾼이란다. 한 명 선택해보렴.</t>
  </si>
  <si>
    <t>Bienvenido al campo de batalla` cariño. Te enseñaré a luchar. Selecciona un trabajador. Mira a la izquierda. Los trabajadores son así. Selecciona uno de ellos.</t>
  </si>
  <si>
    <t>Дорогуша` добро пожаловать на поле битвы. Я научу тебя` как сражаться. Выберите рабочего. Посмотрите на левую сторону этого окна. Рабочие выглядят так. Выбери одного из них.</t>
  </si>
  <si>
    <t>Bienvenue sur le champ de bataille. Je vais t'apprendre comment te battre. Regarde à gauche de cette fenêtre. Les ouvriers ressemblent à ça. Sélectionne en un.</t>
  </si>
  <si>
    <t>tutorial 1</t>
  </si>
  <si>
    <t>Good. Touch the ground to make units MOVE.</t>
  </si>
  <si>
    <t>좋아. 이제 땅을 터치해서 일꾼을 움직여보거라.</t>
  </si>
  <si>
    <t>Bien. Toca el suelo para hacer que la unidad se MUEVA.</t>
  </si>
  <si>
    <t>Хорошо. Теперь коснитесь земли` чтобы отдать приказ юнитам 'ДВИГАТЬСЯ'</t>
  </si>
  <si>
    <t>Bien. Touchez le sol pour DÉPLACER des unités.</t>
  </si>
  <si>
    <t>tutorial 2</t>
  </si>
  <si>
    <t>Use two fingers to move the view.</t>
  </si>
  <si>
    <t>두 손가락으로 화면을 움직일 수도 있어.</t>
  </si>
  <si>
    <t>Y usa tus dos dedos para mover la cámara.</t>
  </si>
  <si>
    <t>Используйте два пальца` чтобы переместить камеру.</t>
  </si>
  <si>
    <t>Utilisez deux doigts pour déplacer la caméra.</t>
  </si>
  <si>
    <t>tutorial 3</t>
  </si>
  <si>
    <t>Very good. He can gather gold. Find a gold mine and send the selected worker to the mine. A mine looks like this. If you are confused, just select a worker and select the mine. That’s it.</t>
  </si>
  <si>
    <t>아주 좋아. 일꾼은 금을 캘 수 있단다. 금광을 찾아서 일꾼에게 일을 시키렴. 어떻게 하냐구? 간단해. 일꾼 선택하고 금광을 선택하면 된다다. 금광은 이렇게 생겼단다.</t>
  </si>
  <si>
    <t>Muy bien. Puede recoger oro. Encunetra una mina y envía al trabajador seleccionado a la mina. Por si estás un poco perdido` una mina es así. Solo selecciona un trabajador y selecciona la mina. Eso es.</t>
  </si>
  <si>
    <t>Отлично. Он может собрать золото. Найдите золотой рудник. И отправить выбранного работника на шахту. Она выглядит вот так. Просто выберите рабочего и выберите шахту. Вот так` да.</t>
  </si>
  <si>
    <t>Très bien. Il peut récolter de l'or. Trouvez une mine et envoyez l'ouvrier sélectionné à la mine. La mine ressemble à ça. Si vous êtes perdus, sélectionnez simplement un ouvrier et appuyez sur la mine. C'est tout.</t>
  </si>
  <si>
    <t>tutorial 4</t>
  </si>
  <si>
    <t>Oh dear. You are good at this aren’t you? Allll right. Now send the worker to a tree. He can gather lumber as well. Make sure you checked the axe icon above the lumber you touched. It is just annoying when you find a worker resting under the tree forever!</t>
  </si>
  <si>
    <t>오 마이! 정말 잘하는구나! 그래` 좋았어! 이제 놀고 있는 일꾼을 선택해서 나무를 해보자꾸나. 일꾼을 선택하고 나무를 선택하면 돼. 나무 위에 도끼 모양이 나타나야 제대로 일을 시작한거야. 가끔 나무 밑에서 놀고있는 일꾼들을 보면 화가 치밀어오르지!</t>
  </si>
  <si>
    <t>Oh` cariño. Se te da bien` ¿a que sí? Muyyy bien. Ahora envía a un trabajador a un árbol. También puede recoger madera. Asegúrate de que el icono de un hacha aparece sobre el árbol que has tocado. ¡Molesta encontrarse a los trabajadores descansando a la sombra de un árbol!</t>
  </si>
  <si>
    <t>О` Боже. Ты хорош в этом. Не так ли? Отлично. Теперь отправьте рабочего к дереву. Он также может собирать древесину. Убедитесь` что вы отметили значок топора над древесиной` к которой вы прикоснулись. Не круто` когда ты находишь работника` который вечно отдыхает под деревом вместо работы!</t>
  </si>
  <si>
    <t>Mon cher. Vous être bon n'est-ce pas ? Trèèès bien. Maintenant envoie cet ouvrier sur un arbre. Il peut aussi récolter du bois. Vérifie qu'une icône de hâche apparaît au dessus de l'arbre que tu a sélectionné. C'est énervant de retrouver un ouvrier qui se repose sous un arbre !</t>
  </si>
  <si>
    <t>tutorial 5</t>
  </si>
  <si>
    <t>Goooood. Now. Let’s try building a farm. People must eat. The more farms you have. The more people you can get. Select the worker and select the build icon.</t>
  </si>
  <si>
    <t>쪼오아. 이제 농장을 하나 지어볼까? 더 많은 인구를 확보하려면 농장이 많아야 한단다. 먹어야 살 것 아니니? 끌끌끌. 일꾼을 선택하고 건설 아이콘을 선택해보려무나.</t>
  </si>
  <si>
    <t>Bieeeeen. Ahora construyamos una granja. La gente tendrá que comer` ¿no?. Cuantas más granjas tengas` más gente podrás tener. Selecciona un trabajador y selecciona el icono para construir.</t>
  </si>
  <si>
    <t>Хоороошооо. Сейчас. Давайте попробуем построить ферму. Люди должны есть. Чем больше у вас ферм` тем больше людей вы можете получить. Выберите рабочего и выберите значок сборки.</t>
  </si>
  <si>
    <t>Biiiien. Maintenant, construis une ferme. Les gens doivent manger. Plus tu as de fermes, plus tu peux recruter de personnes. Sélectionne un ouvrier et appuie sur l'icône de construction.</t>
  </si>
  <si>
    <t>tutorial 6</t>
  </si>
  <si>
    <t>Then select the farm. Look at the left. Farms look like this. Let’s build one.</t>
  </si>
  <si>
    <t>이제 농장을 선택해보렴. 농장은 왼쪽의 그림처럼 생긴 건물이란다. 하나 지어보자꾸나.</t>
  </si>
  <si>
    <t>Ahora selecciona la granja. Mira a la izquierda. Las granjas son así. Construyamos una.</t>
  </si>
  <si>
    <t>Затем выберите ферму. Посмотрите налево. Фермы выглядят так. Давайте построим одну.</t>
  </si>
  <si>
    <t>Puis sélectionne la ferme. Regarde à gauche. Les fermes ressemblent à ça. Construis-en une.</t>
  </si>
  <si>
    <t>tutorial 7</t>
  </si>
  <si>
    <t>Alll righty. Why don’t we try building a barracks. You can train swordsmen and archers at the barracks. Try building this one. Do you see the building on the left?</t>
  </si>
  <si>
    <t>잘 하고 있어! 이제 병영도 하나 지어볼까? 병영에서는 검사나 궁수 같은 병력들을 생산할 수 있단다. 하지 지어보자꾸나. 왼쪽에 그림이 보이지? 저렇게 생긴걸 하나 만들어보려무나.</t>
  </si>
  <si>
    <t>Muy bien. ¿Por qué no probamos a construir un cuartel? En ellos puedes entrenar a espadachines y a arqueros. Prueba a construir este. ¿Ves el edificio a la izquierda?</t>
  </si>
  <si>
    <t>Окей. Почему бы нам не попробовать построить казарму. Вы можете обучать мечников и лучников в казармах. Попробуйте построить её. Вы видите здание слева?</t>
  </si>
  <si>
    <t>Trèèès bien. Et si on essayait de construire une caserne ? Tu peux entraîner des épéistes et des archers dans les casernes. Essaye d'en construire une. Tu vois ce bâtiment à gauche ?</t>
  </si>
  <si>
    <t>tutorial 8</t>
  </si>
  <si>
    <t>Perrrrfect. Let’s train a swordsman. Select the barracks that you just build. And select a swordsman to train.</t>
  </si>
  <si>
    <t>완벽해! 이제 검사를 한 명 뽑아보렴. 방금 지은 병영을 선택하고 검사를 선택하면 돼! 아주 쉽지?</t>
  </si>
  <si>
    <t>Perrrrrfecto. Vamos a entrenar a espadachines. Selecciona el cuartel que acabas de construir y un espadachín al que entrenar.</t>
  </si>
  <si>
    <t>Отлично. Давайте обучим мечника. Выберите казармы` которые вы только что построили. Затем выберите мечника для тренировки.</t>
  </si>
  <si>
    <t>Parfaiiiiit. Maintenant entraîne un épéiste. Sélectionne la caserne que tu viens de construire, puis sélectionne un épéiste pour l'entraîner.</t>
  </si>
  <si>
    <t>tutorial 9</t>
  </si>
  <si>
    <t>Oh my goodness! You are reeeeally talented! Now, I have a last thing to teach you. DRAG to select MULTIPLE units.</t>
  </si>
  <si>
    <t>옴마나 세상에! 아주 능숙하구나. 역사에 이름을 남길만한 인물이 여기 있구나! 이제 거의 마지막이다. 한 손가락으로 화면을 쓸어서 여러명의 병력을 선택해보거라.</t>
  </si>
  <si>
    <t>¡Dios mío! ¡Tienes talento! Bien` tengo una última cosa que enseñarte. ARRASTRA para seleccionar MÚLTIPLES unidades.</t>
  </si>
  <si>
    <t>Боже мой! Вы действительно талантливы! Сейчас. У меня есть последняя вещь` чтобы научить вас. Потяните` чтобы выбрать НЕСКОЛЬКО единиц.</t>
  </si>
  <si>
    <t>Oh mon diiieu ! Tu es vraiiiiiment talentueux. Maintenant, je vais t'apprendre une dernière chose. Fais GLISSER pour sélectionner PLUSIEURS unités.</t>
  </si>
  <si>
    <t>tutorial 10</t>
  </si>
  <si>
    <t>Alrighty. Then double tap ground to make unit MOVE and ATTACK.</t>
  </si>
  <si>
    <t>좋아! 이제 빈 땅을 더블탭해보거라! 어택땅이라고 하는데. 이게 아주 편해. 병사들이 이동하다가 적을 마주하면 자동으로 전투를 시작하지. 뭐? 알고 있다고?</t>
  </si>
  <si>
    <t>Excelente. Ahora toca dos veces el suelo para hacer que la unidad se MUEVA y ATAQUE.</t>
  </si>
  <si>
    <t>Хорошо. Затем дважды нажмите на землю` чтобы отдать приказ юниту 'ДВИЖЕНИЕ И АТАКА'.</t>
  </si>
  <si>
    <t>Très bien. Puis appuie deux fois sur le sol pour DÉPLACER et faire ATTAQUER une unité.</t>
  </si>
  <si>
    <t>tutorial 11</t>
  </si>
  <si>
    <t>Ggggggreat. No more words needed. Try finding out what you can do with what you got. The objectives are on the top left corner of the screen. Good luck. Sweat heart.</t>
  </si>
  <si>
    <t>쪼아조아조아조아. 더 이상 말이 필요 없겠구나. 이제 나름의 방법으로 전장을 지휘하려무나. 화면 왼쪽 위에 임무 목표가 있으니 마음껏 즐기렴. 행운을 빌어주마.</t>
  </si>
  <si>
    <t>Ggggggenial. No hay más que decir. Intenta averiguar qué puedes hacer con lo que tienes. Los objetivos aparecen en la esquina superior izquierda de la pantalla. Buena suerte` cariño.</t>
  </si>
  <si>
    <t>Отлично. Довольно слов. Попробуйте выяснить` что вы можете сделать с тем` что у вас есть. Задания находятся в верхнем левом углу экрана. Удачи` дорогуша.</t>
  </si>
  <si>
    <t>Très biiiien. Plus besoin de parler. Essaie des choses pour voir ce que tu peux faire avec ce que tu as. Les objectifs sont affichés en haut à gauche de l'écran. Bonne chance chérie.</t>
  </si>
  <si>
    <t>tutorialHowTo0</t>
  </si>
  <si>
    <t>Select a worker</t>
  </si>
  <si>
    <t>일꾼을 선택하세요</t>
  </si>
  <si>
    <t>Selecciona un trabajador</t>
  </si>
  <si>
    <t>Выберите рабочего</t>
  </si>
  <si>
    <t>Sélectionnez un ouvrier</t>
  </si>
  <si>
    <t>tutorialHowTo1</t>
  </si>
  <si>
    <t>Touch ground to move selected worker</t>
  </si>
  <si>
    <t>땅을 터치해서 선택된 일꾼을 이동하세요</t>
  </si>
  <si>
    <t>Toca el suelo para que el trabajador seleccionado se mueva</t>
  </si>
  <si>
    <t>Коснитесь земли` чтобы переместить выбранного рабочего</t>
  </si>
  <si>
    <t>Touchez le sol pour déplacer l'ouvrier sélectionné</t>
  </si>
  <si>
    <t>tutorialHowTo2</t>
  </si>
  <si>
    <t>Drag screen with two fingers to move the view</t>
  </si>
  <si>
    <t>두 손가락으로 화면을 쓸어서 시야를 이동하세요</t>
  </si>
  <si>
    <t>Arrastra dos dedos por la pantalla para mover la cámara</t>
  </si>
  <si>
    <t>Перетащите экран двумя пальцами` чтобы переместить камеру</t>
  </si>
  <si>
    <t>Faites glisser deux doigts pour déplacer la caméra</t>
  </si>
  <si>
    <t>tutorialHowTo3</t>
  </si>
  <si>
    <t>Select a worker and select the mine</t>
  </si>
  <si>
    <t>일꾼을 선택하고 금광을 선택하세요</t>
  </si>
  <si>
    <t>Selecciona un trabajador y selecciona la mina</t>
  </si>
  <si>
    <t>Выберите рабочего и выберите шахту</t>
  </si>
  <si>
    <t>Sélectionnez un ouvrier et touchez la mine</t>
  </si>
  <si>
    <t>tutorialHowTo4</t>
  </si>
  <si>
    <t>Select a worker and select a tree</t>
  </si>
  <si>
    <t>일꾼을 선택하고 나무를 선택하세요</t>
  </si>
  <si>
    <t>Selecciona un trabajador y selecciona un árbol</t>
  </si>
  <si>
    <t>Выберите рабочего и выберите дерево</t>
  </si>
  <si>
    <t>Sélectionnez un ouvrier et touchez un arbre</t>
  </si>
  <si>
    <t>tutorialHowTo5</t>
  </si>
  <si>
    <t>Select a worker and select the build icon</t>
  </si>
  <si>
    <t>일꾼을 선택하고 건설 메뉴를 선택하세요</t>
  </si>
  <si>
    <t>Selecciona un trabajador y selecciona el icono para construir</t>
  </si>
  <si>
    <t>Выберите рабочего и выберите значок постройки</t>
  </si>
  <si>
    <t>Sélectionnez un ouvrier et touchez l'icône de construction</t>
  </si>
  <si>
    <t>tutorialHowTo6</t>
  </si>
  <si>
    <t>Build a farm</t>
  </si>
  <si>
    <t>농장을 지으세요</t>
  </si>
  <si>
    <t>Construye una granja</t>
  </si>
  <si>
    <t>Построить ферму</t>
  </si>
  <si>
    <t>Construisez une ferme</t>
  </si>
  <si>
    <t>tutorialHowTo7</t>
  </si>
  <si>
    <t>Build a barracks</t>
  </si>
  <si>
    <t>병영을 지으세요</t>
  </si>
  <si>
    <t>Construye un cuartel</t>
  </si>
  <si>
    <t>Построить казарму</t>
  </si>
  <si>
    <t>Construisez une caserne</t>
  </si>
  <si>
    <t>tutorialHowTo8</t>
  </si>
  <si>
    <t>Train a swordsman</t>
  </si>
  <si>
    <t>검사를 생산하세요</t>
  </si>
  <si>
    <t>Entrena a un espadachín</t>
  </si>
  <si>
    <t>Обучить мечника</t>
  </si>
  <si>
    <t>Entraînez un épéiste</t>
  </si>
  <si>
    <t>tutorialHowTo9</t>
  </si>
  <si>
    <t>Drag screen with one finger to select multiple units</t>
  </si>
  <si>
    <t>한 손가락으로 화면을 쓸어서 여러명의 유닛을 선택하세요</t>
  </si>
  <si>
    <t>Arrastra un dedo por la pantalla para seleccionar a múltiples unidades</t>
  </si>
  <si>
    <t>Проведите пальцем по экрану` чтобы выбрать несколько единиц</t>
  </si>
  <si>
    <t>Glissez votre doigt sur l'écran pour sélectionner plusieurs unités</t>
  </si>
  <si>
    <t>tutorialHowTo10</t>
  </si>
  <si>
    <t>Double tap ground to command MOVE AND ATTACK to selected units</t>
  </si>
  <si>
    <t>유닛을 선택한채로 땅을 더블탭하면 유닛이 이동하며 공격가능한 대상을 만나면 자동으로 공격합니다</t>
  </si>
  <si>
    <t>Toca el suelo dos veces para ordenar MOVERSE y ATACAR a las unidades seleccionadas</t>
  </si>
  <si>
    <t>Дважды нажмите на землю` чтобы отдать команду 'ПЕРЕМЕЩЕНИЕ И АТАКА' к выбранным единицам</t>
  </si>
  <si>
    <t>Appuyez deux fois sur le sol pour commander aux unités de se DÉPLACER et ATTAQUER</t>
  </si>
  <si>
    <t>objective build farm</t>
  </si>
  <si>
    <t>Build farms</t>
  </si>
  <si>
    <t>농장을 건설하라</t>
  </si>
  <si>
    <t>Construye granjas</t>
  </si>
  <si>
    <t>Построить фермы</t>
  </si>
  <si>
    <t>Construisez des fermes</t>
  </si>
  <si>
    <t>objective build barracks</t>
  </si>
  <si>
    <t>Build barracks</t>
  </si>
  <si>
    <t>병영을 건설하라</t>
  </si>
  <si>
    <t>Construye cuarteles</t>
  </si>
  <si>
    <t>Построить казармы</t>
  </si>
  <si>
    <t>Construisez des casernes</t>
  </si>
  <si>
    <t>objective train swordsman</t>
  </si>
  <si>
    <t>Train swordsmen</t>
  </si>
  <si>
    <t>검사를 생산하라</t>
  </si>
  <si>
    <t>Entrena a espadachines</t>
  </si>
  <si>
    <t>Обучить мечников</t>
  </si>
  <si>
    <t>Entraînez des épéistes</t>
  </si>
  <si>
    <t>objective destroy them all</t>
  </si>
  <si>
    <t>Destroy them all</t>
  </si>
  <si>
    <t>적의 전멸</t>
  </si>
  <si>
    <t>Acaba con todos</t>
  </si>
  <si>
    <t>Уничтожить всех</t>
  </si>
  <si>
    <t>Anéantissez les</t>
  </si>
  <si>
    <t>objective survive</t>
  </si>
  <si>
    <t>Survive for %d minutes</t>
  </si>
  <si>
    <t>Sobrevive %d minutos</t>
  </si>
  <si>
    <t>Продержаться %d минут</t>
  </si>
  <si>
    <t>Survivez pendant %d minutes</t>
  </si>
  <si>
    <t>Überleben für%d Minuten</t>
  </si>
  <si>
    <t>%d dakika boyunca hayatta</t>
  </si>
  <si>
    <t>objective protect all</t>
  </si>
  <si>
    <t>Protect your ally</t>
  </si>
  <si>
    <t>동맹을 지켜라</t>
  </si>
  <si>
    <t>Protege a tus aliados</t>
  </si>
  <si>
    <t>Защити своего союзника</t>
  </si>
  <si>
    <t>Protégez votre allié</t>
  </si>
  <si>
    <t>event0_0</t>
  </si>
  <si>
    <t>hero&gt;I know you’ve been waiting for today!</t>
  </si>
  <si>
    <t>hero&gt;Se que llevas mucho esperando este momento.</t>
  </si>
  <si>
    <t>hero&gt;Я знаю, вы ждали этот день!</t>
  </si>
  <si>
    <t>hero&gt;Je sais que vous avez attendiez ce jour !</t>
  </si>
  <si>
    <t>hero&gt; Ich weiß, du hast für heute gewartet!</t>
  </si>
  <si>
    <t>hero&gt;Ben bugün için bekledim biliyorum!</t>
  </si>
  <si>
    <t>event0_1</t>
  </si>
  <si>
    <t>hero&gt;But today is not the day!</t>
  </si>
  <si>
    <t>hero&gt;하지만 오늘은 날이 아니야!</t>
  </si>
  <si>
    <t>hero&gt;¡Pero hoy no será el día!</t>
  </si>
  <si>
    <t>hero&gt;Но время еще не пришло!</t>
  </si>
  <si>
    <t>hero&gt;Mais aujourd'hui n'est pas ce jour !</t>
  </si>
  <si>
    <t>hero&gt; Aber heute ist nicht der Tag!</t>
  </si>
  <si>
    <t>hero&gt;Ama bugün değil günü!</t>
  </si>
  <si>
    <t>event0_2</t>
  </si>
  <si>
    <t>orc&gt;What?</t>
  </si>
  <si>
    <t>orc&gt;뭐? 왓? 뭐?</t>
  </si>
  <si>
    <t>orc&gt;¿Qué?</t>
  </si>
  <si>
    <t>orc&gt;Что?</t>
  </si>
  <si>
    <t>orc&gt;Quoi ?</t>
  </si>
  <si>
    <t>orc&gt; Was?</t>
  </si>
  <si>
    <t>orc&gt; Ne?</t>
  </si>
  <si>
    <t>event0_3</t>
  </si>
  <si>
    <t>hero&gt;There is a spooky plague that is spreading all over the land.</t>
  </si>
  <si>
    <t>hero&gt;대륙 전체에 기분나쁜 전염병이 돈다는 소문이다!</t>
  </si>
  <si>
    <t>hero&gt;Una plaga aterradora se propaga por todos lados.</t>
  </si>
  <si>
    <t>hero&gt;Жуткая чума распространяется по землям.</t>
  </si>
  <si>
    <t>hero&gt;Une peste effrayante se répand dans le pays.</t>
  </si>
  <si>
    <t>hero&gt; Es ist eine gespenstische Plage, die über das ganze Land verbreitet.</t>
  </si>
  <si>
    <t>hero&gt;tüm arazi üzerine yayılıyor ürkütücü veba vardır.</t>
  </si>
  <si>
    <t>event0_4</t>
  </si>
  <si>
    <t>orc&gt;Pleegooo?</t>
  </si>
  <si>
    <t>orc&gt;전병? 먹어?</t>
  </si>
  <si>
    <t>orc&gt;¿Plaajaaa?</t>
  </si>
  <si>
    <t>orc&gt;Чоомэээ?..</t>
  </si>
  <si>
    <t>orc&gt;Piiistee ?</t>
  </si>
  <si>
    <t>orc&gt; Pleegooo?</t>
  </si>
  <si>
    <t>event0_5</t>
  </si>
  <si>
    <t>hero&gt;No. Plague, a sickness. They say this plague is dangerous as hell.</t>
  </si>
  <si>
    <t>hero&gt;아니. 전염병! 아픈 것 말이다! 한글 좀 더 배우렴! 이 전염병이 아주 위험하다고 한다!</t>
  </si>
  <si>
    <t>hero&gt;No. Plaga. Una enfermedad muy chunga.</t>
  </si>
  <si>
    <t>hero&gt;Нет, ЧУМА - болезнь. Говорят, она смертельна.</t>
  </si>
  <si>
    <t>hero&gt;Non. Peste, une maladie. On raconte qu'elle est extrêmement dangereuse.</t>
  </si>
  <si>
    <t>hero&gt; Nein. Pest, eine Krankheit. Sie sagen, dass diese Plage höllisch gefährlich.</t>
  </si>
  <si>
    <t>hero&gt;Hayır. Veba, bir hastalık. Onlar bu veba cehennem kadar tehlikeli olduğunu söylüyorlar.</t>
  </si>
  <si>
    <t>event0_6</t>
  </si>
  <si>
    <t>hero&gt;Soldiers must die at war. Not by plague.</t>
  </si>
  <si>
    <t>hero&gt;내 전사들의 마지막을 전염병으로 더럽히고 싶지 않다!</t>
  </si>
  <si>
    <t>hero&gt;Los soldados deben morir en la guerra` no por culpa de una plaga.</t>
  </si>
  <si>
    <t>hero&gt;А солдаты должны умирать на войне. Не от чумы!</t>
  </si>
  <si>
    <t>hero&gt;Les soldats doivent mourir au combat, pas de la peste.</t>
  </si>
  <si>
    <t>hero&gt; Soldaten müssen im Krieg sterben. Nicht von Pest.</t>
  </si>
  <si>
    <t>hero&gt;Askerler savaş ölmeli. Değil veba yüzünden.</t>
  </si>
  <si>
    <t>event0_7</t>
  </si>
  <si>
    <t>orc&gt;What… do you say?</t>
  </si>
  <si>
    <t>orc&gt;뭐? 그래서? 뭐? 왓?</t>
  </si>
  <si>
    <t>orc&gt;¿Qué...tu diciendo?</t>
  </si>
  <si>
    <t>orc&gt;Что?.. Что ты сказал?</t>
  </si>
  <si>
    <t>orc&gt;Qu'est-ce... que tu dis ?</t>
  </si>
  <si>
    <t>orc&gt; Was ... sagen Sie?</t>
  </si>
  <si>
    <t>orc&gt; Ne ... diyorsun?</t>
  </si>
  <si>
    <t>event0_8</t>
  </si>
  <si>
    <t>hero&gt;I say let’s postpone this war until doctors find a cure.</t>
  </si>
  <si>
    <t>hero&gt;의사들이 해결책을 찾기 전까지 이 전투를 미루는 것이 어떤가?!</t>
  </si>
  <si>
    <t>hero&gt;Digo que pospongamos esta guerra hasta que los médicos encuentren una cura.</t>
  </si>
  <si>
    <t>hero&gt;Я хочу сказать, давайте отложим эту войну до тех пор, пока врачи не найдут лекарст...</t>
  </si>
  <si>
    <t>hero&gt;Je dis qu'on devrait arrêter de se battre jusqu'à ce que les docteurs aitent trouvé un remède.</t>
  </si>
  <si>
    <t>hero&gt; Ich sage wir diesen Krieg aufzuschieben, bis die Ärzte eine Heilung finden.</t>
  </si>
  <si>
    <t>hero&gt;Doktorlar tedavisi bulunana kadar en bu savaşı ertelemek izin söylüyorlar.</t>
  </si>
  <si>
    <t>event0_9</t>
  </si>
  <si>
    <t>orc&gt;That is dog speaking! our troop strong. No sick endanger orc.</t>
  </si>
  <si>
    <t>orc&gt;멍청한 소리! 오크 병사 강하다! 감기 따위 걸리지 않는다!</t>
  </si>
  <si>
    <t>orc&gt;Eso ser tonterías. Nuestra tropa ser fuerte. Ninguna enfermedad afectar orcos.</t>
  </si>
  <si>
    <t>orc&gt;Ты говоришь как трусливый пес! Наш отряд силен! Мы не больны и очень опасны.</t>
  </si>
  <si>
    <t>orc&gt;Ça parole chien ! Nos troupes fortes. Orc pas danger maladie.</t>
  </si>
  <si>
    <t>orc&gt; Das spricht Hund! unsere Truppe stark. Kein krank endanger Ork.</t>
  </si>
  <si>
    <t>orc&gt; O köpek konuşuyor! birliklerimizin güçlü. Hiçbir hasta tehlikeye sokabilir orc.</t>
  </si>
  <si>
    <t>event0_10</t>
  </si>
  <si>
    <t>hero&gt;You don’t understand. The situ..</t>
  </si>
  <si>
    <t>hero&gt;감기가 아니라 전염병이라니까..</t>
  </si>
  <si>
    <t>hero&gt;No lo entiendes. La situa...</t>
  </si>
  <si>
    <t>hero&gt;Но вы не понимаете. Ситуация крити…</t>
  </si>
  <si>
    <t>hero&gt;Tu ne comprends pas. La situ...</t>
  </si>
  <si>
    <t>hero&gt; Sie verstehen nicht. Der Ort ..</t>
  </si>
  <si>
    <t>hero&gt;Sen anlamıyorsun. in situ ..</t>
  </si>
  <si>
    <t>event0_11</t>
  </si>
  <si>
    <t>orc&gt;That is cow moo! Stop mooing! And stand there watch me spank you!</t>
  </si>
  <si>
    <t>orc&gt;바보 소리! 대화 없다 필요! 싸운다 우리! 딱 기다려라!</t>
  </si>
  <si>
    <t>orc&gt;Ser bebé llorón. ¡Dejar de llorar! Y venir aquí para yo azotar a ti.</t>
  </si>
  <si>
    <t>orc&gt;Хватит мычать как корова! Я прихлопну тебя на месте!</t>
  </si>
  <si>
    <t>orc&gt;Arrête meugler ! Reste là pendant nous mettre fessée vous !</t>
  </si>
  <si>
    <t>orc&gt; Das ist Kuh muhen! Stoppen Sie muhen! Und da stehen sehen mich Sie versohlen!</t>
  </si>
  <si>
    <t>orc&gt; Bu inek moo olduğunu! mölemeye durdurun! Ve orada durup bana seni dövmek izleyin!</t>
  </si>
  <si>
    <t>event0_12</t>
  </si>
  <si>
    <t>hero&gt;Alright. Then let’s make it quick. How about a single combat? Just you and me.</t>
  </si>
  <si>
    <t>hero&gt;이대로 돌아갈 순 없다는 말로 알아듣겠다. 그럼 이건 어떤가? 너랑 나랑 둘이 결판을 내자. 길게 끌 필요 없잖아?</t>
  </si>
  <si>
    <t>hero&gt;Está bien. Pero rapidito. ¿Qué te parece un combate individual? Tu contra mi.</t>
  </si>
  <si>
    <t>hero&gt;... Хорошо. Тогда давайте сразимся быстро. Как насчет одного боя? Только ты и я.</t>
  </si>
  <si>
    <t xml:space="preserve">hero&gt;D'accord. Faisons ça vite. Et si on faisait un duel ? Juste vous et moi. </t>
  </si>
  <si>
    <t>hero&gt; In Ordnung. Dann lassen Sie uns es schnell machen. Wie wärs mit einem Einzelkampf? Nur du und ich.</t>
  </si>
  <si>
    <t>hero&gt;Tamam. O zaman çabuk yapalım. Nasıl tek mücadele konusunda? Sadece sen ve ben.</t>
  </si>
  <si>
    <t>event0_13</t>
  </si>
  <si>
    <t>hero&gt;Let’s not waste time and men.</t>
  </si>
  <si>
    <t>hero&gt;시간 낭비 하지 말자구.</t>
  </si>
  <si>
    <t>hero&gt;No perdamos tiempo ni hombres.</t>
  </si>
  <si>
    <t>hero&gt;Не будем тратить ни время, ни людей.</t>
  </si>
  <si>
    <t>hero&gt;Ne gâchons pas de temps ni d'hommes.</t>
  </si>
  <si>
    <t>hero&gt; Lassen Sie uns keine Zeit und Männern verschwenden.</t>
  </si>
  <si>
    <t>hero&gt;saatini ve erkekleri kaybetmeyelim.</t>
  </si>
  <si>
    <t>event0_14</t>
  </si>
  <si>
    <t>orc&gt;No! My troop want to fight! Don't steal my troop’s war!</t>
  </si>
  <si>
    <t>orc&gt;안된다! 우리 오크들 기다렸다 이 날! 우리들의 즐거움을 가져가지 마라!</t>
  </si>
  <si>
    <t>orc&gt;¡No! Tropas mías querer guerra. No robar guerra a tropas mías.</t>
  </si>
  <si>
    <t>orc&gt;Нет! Мой отряд жаждет войны! Тебе не остановить нас!..</t>
  </si>
  <si>
    <t>orc&gt;Non ! Mes troupes veulent guerre ! Toi pas voler guerre mes troupes !</t>
  </si>
  <si>
    <t>orc&gt; Nein! Meine Truppe kämpfen wollen! Sie nicht meine Truppe Krieg stehlen!</t>
  </si>
  <si>
    <t>orc&gt; Hayır! Benim asker savaşmak istiyorum! Benim sürüsünün savaşı çalma!</t>
  </si>
  <si>
    <t>event0_15</t>
  </si>
  <si>
    <t>undead&gt;Well… well… well…</t>
  </si>
  <si>
    <t>undead&gt;그럼 그렇지…</t>
  </si>
  <si>
    <t>undead&gt; Vaya... Vaya... Vaya...</t>
  </si>
  <si>
    <t>undead&gt;Так-так-так…</t>
  </si>
  <si>
    <t>undead&gt; Bien... Bien... Bien...</t>
  </si>
  <si>
    <t>undead&gt;Well ... na ja ... gut ...</t>
  </si>
  <si>
    <t>undead&gt;Şey ... şey ... şey ...</t>
  </si>
  <si>
    <t>event0_16</t>
  </si>
  <si>
    <t>undead&gt;You guys never learn.</t>
  </si>
  <si>
    <t>undead&gt;정말 너희들은 늘 똑같구나.</t>
  </si>
  <si>
    <t>undead&gt;Vosotros nunca aprendéis.</t>
  </si>
  <si>
    <t>undead&gt;Вы, господа, ничему не научились.</t>
  </si>
  <si>
    <t>undead&gt; Vous n'apprenez jamais.</t>
  </si>
  <si>
    <t>undead&gt;Ihr Jungs nie lernen.</t>
  </si>
  <si>
    <t>undead&gt;Siz öğrenemezler.</t>
  </si>
  <si>
    <t>event0_17</t>
  </si>
  <si>
    <t>hero&gt;Who are you?</t>
  </si>
  <si>
    <t>hero&gt;댁은 뉘슈?</t>
  </si>
  <si>
    <t>hero&gt;¿Quién eres?</t>
  </si>
  <si>
    <t>hero&gt;А ты кто?</t>
  </si>
  <si>
    <t>hero&gt;Qui êtes-vous ?</t>
  </si>
  <si>
    <t>hero&gt; Wer bist du?</t>
  </si>
  <si>
    <t>hero&gt;Sen kimsin?</t>
  </si>
  <si>
    <t>event0_18</t>
  </si>
  <si>
    <t>orc&gt;…</t>
  </si>
  <si>
    <t>orc&gt;가면 멋있다! 나 주라!</t>
  </si>
  <si>
    <t>orc&gt;...</t>
  </si>
  <si>
    <t>orc&gt; ...</t>
  </si>
  <si>
    <t>event0_19</t>
  </si>
  <si>
    <t>undead&gt;I am no one.</t>
  </si>
  <si>
    <t>undead&gt;나말인가? 그저 스처가는 나그네라 하고 싶지만 너무나도 이 대화에 끼고 싶군.</t>
  </si>
  <si>
    <t>undead&gt;No soy nadie.</t>
  </si>
  <si>
    <t>undead&gt;Я? Никто.</t>
  </si>
  <si>
    <t>undead&gt; Je ne suis personne.</t>
  </si>
  <si>
    <t>undead&gt;Ich bin niemand.</t>
  </si>
  <si>
    <t>undead&gt;Hiç kimse değilim.</t>
  </si>
  <si>
    <t>event0_20</t>
  </si>
  <si>
    <t>hero&gt;I recognize you. No way… You are..</t>
  </si>
  <si>
    <t>hero&gt;말도 안돼! 당신은 레밍…</t>
  </si>
  <si>
    <t>hero&gt;Me suenas. No puede ser... Tu eres...</t>
  </si>
  <si>
    <t>hero&gt;Я выясню, кто ты. О нет... Ты же...</t>
  </si>
  <si>
    <t>hero&gt;Je te reconnais. C'est impossible... Tu es...</t>
  </si>
  <si>
    <t>hero&gt; Ich erkenne dich. Auf keinen Fall ... Sie sind ..</t>
  </si>
  <si>
    <t>hero&gt;Seni tanıdım. Olamaz ... Sen ..</t>
  </si>
  <si>
    <t>event0_21</t>
  </si>
  <si>
    <t>undead&gt;Hey hey hey. I just said I’m no one. Please. Don’t ruin the moment.</t>
  </si>
  <si>
    <t>undead&gt;헤이! 보이! 그건 중요치 않아. 과거의 내가 누구이건 간에 지금 사라져야 할 건 그대들이라는 거지.</t>
  </si>
  <si>
    <t>undead&gt;Ey` ey` ey. Acabo de decir que no soy nadie. No arruines el momento` por favor.</t>
  </si>
  <si>
    <t>undead&gt;Воу-воу-воу. Я просто сказал, что я Никто. Пожалуйста, не порть момент.</t>
  </si>
  <si>
    <t>undead&gt; Hey hey hey, je viens de dire que je ne suis personne. S'il vous plaît. Ne ruinez pas le moment.</t>
  </si>
  <si>
    <t>undead&gt;Hey hey hey. Ich habe nur gesagt bin ich niemand. Bitte. Sie nicht den Moment ruinieren.</t>
  </si>
  <si>
    <t>undead&gt;hey hey. Sadece kimsenin olduğumu söyledi. Lütfen. anı mahvetme.</t>
  </si>
  <si>
    <t>event0_22</t>
  </si>
  <si>
    <t>orc&gt;You talk too much. You are dead too.</t>
  </si>
  <si>
    <t>orc&gt;우오! 말 많다! 좀 맞자!</t>
  </si>
  <si>
    <t>orc&gt;Tu hablar mucho. Tu muerto también.</t>
  </si>
  <si>
    <t>orc&gt;Ты достаточно сказал. Тебя я тоже убью.</t>
  </si>
  <si>
    <t>orc&gt;Toi trop parler. Et toi être mort.</t>
  </si>
  <si>
    <t>orc&gt; Sie reden zu viel. Sie sind auch tot.</t>
  </si>
  <si>
    <t>orc&gt; Sen çok konuşuyorum. Çok öldü.</t>
  </si>
  <si>
    <t>event0_23</t>
  </si>
  <si>
    <t>orc&gt;OAAOAAOAAOAA!!!</t>
  </si>
  <si>
    <t>orc&gt;우오우오오우오!</t>
  </si>
  <si>
    <t>orc&gt;¡¡¡OAAOAAOAAOAA!!!</t>
  </si>
  <si>
    <t>orc&gt;УОРОРАРАРА!!!</t>
  </si>
  <si>
    <t>orc&gt; OAAOAAOAAOAA !!!</t>
  </si>
  <si>
    <t>event0_24</t>
  </si>
  <si>
    <t>undead&gt;What are you OAAOAAOAAOAAing for?</t>
  </si>
  <si>
    <t>undead&gt;누구한데 우오우오오우오 거리는거야?</t>
  </si>
  <si>
    <t>undead&gt;¿Por qué haces eso?</t>
  </si>
  <si>
    <t>undead&gt;Зачем ты УРОРОРАРАРАкаешь?</t>
  </si>
  <si>
    <t>undead&gt; Pourquoi est-ce que tu 'OAAOAAOAAOAA' ?</t>
  </si>
  <si>
    <t>undead&gt;Was OAAOAAOAAOAAing Sie?</t>
  </si>
  <si>
    <t>undead&gt;Ne OAAOAAOAAOAAing var?</t>
  </si>
  <si>
    <t>event0_25</t>
  </si>
  <si>
    <t>orc&gt;My troop kill you and stupid humans!</t>
  </si>
  <si>
    <t>orc&gt;우리 군대가 널 뭉개고 멍청한 휴먼도 뭉개버릴 것이다!</t>
  </si>
  <si>
    <t>orc&gt;Mi tropa matar a tu y a humanos estúpidos.</t>
  </si>
  <si>
    <t>orc&gt;Моя армия убьет тебя и глупых человеков!</t>
  </si>
  <si>
    <t>orc&gt;Mes troupes tuer toi et stupides humains !</t>
  </si>
  <si>
    <t>orc&gt; Meine Truppe Sie und dumme Menschen töten!</t>
  </si>
  <si>
    <t>orc&gt; Benim asker sizi ve aptal insanları öldürmek!</t>
  </si>
  <si>
    <t>event0_26</t>
  </si>
  <si>
    <t>hero&gt;You look like an orc. My men won't spare your life. You should run.</t>
  </si>
  <si>
    <t>hero&gt;당신은 이제 휴먼족보단 오크에 더 가깝군요. 내 병력들은 당신을 오크라 생각할 겁니다. 위험하니 물러서세요.</t>
  </si>
  <si>
    <t>hero&gt;Te pareces a un orco. Mis hombres no tendrán piedad. Será mejor que te vayas.</t>
  </si>
  <si>
    <t>hero&gt;Ты выглядишь как орк. Мои люди не пощадят тебя. Ты должен бежать.</t>
  </si>
  <si>
    <t>hero&gt;Tu ressembles à un Orc. Mes hommes ne t'épargneront pas. Tu devrais courir.</t>
  </si>
  <si>
    <t>hero&gt; Sie sehen aus wie ein Ork. Meine Männer werden nicht dein Leben verschonen. Du solltest rennen.</t>
  </si>
  <si>
    <t>hero&gt;Bir orc benziyorsun. Benim adamlarım hayatını yedek olmaz. Koşmalısın.</t>
  </si>
  <si>
    <t>event0_27</t>
  </si>
  <si>
    <t>undead&gt;You two. What are you talking about? Your men are not here.</t>
  </si>
  <si>
    <t>undead&gt;너희 둘. 무슨 말을 하는거야? 도대체 어디에 너희 병력이 있다는 거야?</t>
  </si>
  <si>
    <t>undead&gt;¿De qué habláis vosotros dos? Vuestros hombres no están aquí.</t>
  </si>
  <si>
    <t>undead&gt;Вы двое, о чем вы говорите? Ваших людей здесь нет.</t>
  </si>
  <si>
    <t>undead&gt; Vous deux. De quoi vous parlez ? Vos hommes ne sont pas là.</t>
  </si>
  <si>
    <t>undead&gt;Sie zwei. Worüber redest du? Ihre Männer sind nicht hier.</t>
  </si>
  <si>
    <t>undead&gt;İki. Neden bahsediyorsun? Adamların burada değil.</t>
  </si>
  <si>
    <t>event0_28</t>
  </si>
  <si>
    <t>hero&gt;What?(yell)</t>
  </si>
  <si>
    <t>hero&gt;뭐??(yell)</t>
  </si>
  <si>
    <t>hero&gt;¿Qué?(yell)</t>
  </si>
  <si>
    <t>hero&gt;Какого..?(yell)</t>
  </si>
  <si>
    <t>hero&gt;QUOI ?</t>
  </si>
  <si>
    <t>hero&gt; Was? (schreien)</t>
  </si>
  <si>
    <t>hero&gt;Ne? (bağırma)</t>
  </si>
  <si>
    <t>event0_29</t>
  </si>
  <si>
    <t>orc&gt;What?(yell)</t>
  </si>
  <si>
    <t>orc&gt;왓??(yell)</t>
  </si>
  <si>
    <t>orc&gt;¿Qué?(yell)</t>
  </si>
  <si>
    <t>orc&gt;Что?!(yell)</t>
  </si>
  <si>
    <t>orc&gt;QUOIIII ??</t>
  </si>
  <si>
    <t>orc&gt; Was? (schreien)</t>
  </si>
  <si>
    <t>orc&gt; Ne? (bağırma)</t>
  </si>
  <si>
    <t>event0_30</t>
  </si>
  <si>
    <t>hero&gt;What happen to them?</t>
  </si>
  <si>
    <t>hero&gt;그들에게 무슨 일이 일어난거지?</t>
  </si>
  <si>
    <t>hero&gt;¿Qué les ha pasado?</t>
  </si>
  <si>
    <t>hero&gt;Что это значит?</t>
  </si>
  <si>
    <t>hero&gt;Qu'est-ce qui leur est arrivé ?</t>
  </si>
  <si>
    <t>hero&gt; Was ist mit ihnen geschehen?</t>
  </si>
  <si>
    <t>hero&gt; Onlara ne kahraman olur?</t>
  </si>
  <si>
    <t>event0_31</t>
  </si>
  <si>
    <t>undead&gt;They are my men now.</t>
  </si>
  <si>
    <t>undead&gt;그들은 이제 내 병력들이야!</t>
  </si>
  <si>
    <t>undead&gt;Ahora son mis hombres.</t>
  </si>
  <si>
    <t>undead&gt;Теперь они мои люди.</t>
  </si>
  <si>
    <t>undead&gt; Ce sont mes hommes maintenant.</t>
  </si>
  <si>
    <t>undead&gt;Sie sind jetzt meine Männer.</t>
  </si>
  <si>
    <t>undead&gt;Onlar adamlarım oldular.</t>
  </si>
  <si>
    <t>event0_32</t>
  </si>
  <si>
    <t>undead&gt;Prepare.</t>
  </si>
  <si>
    <t>undead&gt;준비하거라!</t>
  </si>
  <si>
    <t>undead&gt;Preparaos.</t>
  </si>
  <si>
    <t>undead&gt;Готовьтесь...</t>
  </si>
  <si>
    <t>undead&gt; Préparez-vous.</t>
  </si>
  <si>
    <t>undead&gt;vorbereiten.</t>
  </si>
  <si>
    <t>undead&gt;hazırlayın.</t>
  </si>
  <si>
    <t>event0_33</t>
  </si>
  <si>
    <t>undead&gt;To be one of them.</t>
  </si>
  <si>
    <t>undead&gt;너희도 곧 같은 모습이 될테니.</t>
  </si>
  <si>
    <t>undead&gt;Para ser uno de ellos.</t>
  </si>
  <si>
    <t>undead&gt;...Стать одним из них.</t>
  </si>
  <si>
    <t xml:space="preserve">undead&gt; À être l'un d'eux. </t>
  </si>
  <si>
    <t>undead&gt;einer von ihnen sein.</t>
  </si>
  <si>
    <t>undead&gt;onlardan biri olmak.</t>
  </si>
  <si>
    <t>event0_34</t>
  </si>
  <si>
    <t>undead&gt;HAHAHAHHHAHAHHAHAHAHAHAHHAHAHAHAHAHAHAHAHAHAHAHAH..(yell)</t>
  </si>
  <si>
    <t>undead&gt;무와하하하하하하하하핫하하하하하하하하하하하하(yell)</t>
  </si>
  <si>
    <t>undead&gt;JAJAJAJJJAJAJJAJAJAJAJAJJAJAJAJAJAJAJAJAJAJAJAJA...(yell)</t>
  </si>
  <si>
    <t>undead&gt;АХАХАХАХАХХАХААХХААХАХАХАХААХХАХААХАХ(yell)</t>
  </si>
  <si>
    <t>undead&gt; HAHAHAHHHAHAHHAHAHAHAHAHHAHAHAHAHAHAHAHA</t>
  </si>
  <si>
    <t>undead&gt;HAHAHAHHHAHAHHAHAHAHAHAHHAHAHAHAHAHAHAHAHAHAHAHAH .. (Schrei)</t>
  </si>
  <si>
    <t>undead&gt;HAHAHAHHHAHAHHAHAHAHAHAHHAHAHAHAHAHAHAHAHAHAHAHAH .. (bağırma)</t>
  </si>
  <si>
    <t>event1_0</t>
  </si>
  <si>
    <t>hero&gt;Give up. You failed.</t>
  </si>
  <si>
    <t>hero&gt;포기해라 레밍턴! 넌 실패했어!</t>
  </si>
  <si>
    <t>hero&gt;Ríndete. Has fracasado.</t>
  </si>
  <si>
    <t>hero&gt;Сдавайся! Ты проиграл.</t>
  </si>
  <si>
    <t>hero&gt;Abandonne. Tu as échoué.</t>
  </si>
  <si>
    <t>hero&gt; Aufgeben. Du hast versagt.</t>
  </si>
  <si>
    <t>hero&gt;alkış. Hata yaptın.</t>
  </si>
  <si>
    <t>event1_1</t>
  </si>
  <si>
    <t>undead&gt;What? Who said that?</t>
  </si>
  <si>
    <t>undead&gt;뭐? 누가 그래? 그리고 너 왜 반말이야?</t>
  </si>
  <si>
    <t>undead&gt;¿Qué?¿Quién ha dicho eso?</t>
  </si>
  <si>
    <t>undead&gt;... Что? С чего ты взял?</t>
  </si>
  <si>
    <t>undead&gt; Quoi ? Qui a dit ça ?</t>
  </si>
  <si>
    <t>undead&gt;Was? Wer hat das gesagt?</t>
  </si>
  <si>
    <t>undead&gt;Ne? Bunu kim söyledi?</t>
  </si>
  <si>
    <t>event1_2</t>
  </si>
  <si>
    <t>hero&gt;Why? Do you have more zombies in your pocket?</t>
  </si>
  <si>
    <t>hero&gt;왜? 주머니에 좀비 좀 남아있어? 휴먼을 떠난 시점에서 존칭을 기대하진 말아야지.</t>
  </si>
  <si>
    <t>hero&gt;¿Qué pasa?¿Tienes más zombis en el bolsillo?</t>
  </si>
  <si>
    <t>hero&gt;Зачем? Может, у тебя в кармане зомби? Может, мне назвать твое имя?</t>
  </si>
  <si>
    <t>hero&gt;Pourquoi ? Tu as d'autres zombies dans tes poches ?</t>
  </si>
  <si>
    <t>hero&gt; Warum? Sie benötigen mehr Zombies in der Tasche haben?</t>
  </si>
  <si>
    <t>hero&gt;Neden? cebinde fazla zombi var mı?</t>
  </si>
  <si>
    <t>event1_3</t>
  </si>
  <si>
    <t>undead&gt;You made a joke. Now, do you think you ended the war.</t>
  </si>
  <si>
    <t>undead&gt;농담도 하는 걸 보니. 꽤 여유롭구나. 왜? 니가 전쟁을 끝내기라도 한 것 같니?</t>
  </si>
  <si>
    <t>undead&gt;¡Qué gracioso! ¿Crees que has terminado la guerra?</t>
  </si>
  <si>
    <t>undead&gt;Да ты шутник. Думаешь, ты закончил войну?</t>
  </si>
  <si>
    <t>undead&gt; T'as fait une blague. Maintenant, tu penses avoir mis fin à la guerre.</t>
  </si>
  <si>
    <t>undead&gt;Sie haben einen Witz. Nun, glauben Sie, dass Sie den Krieg beendet.</t>
  </si>
  <si>
    <t>undead&gt;Sen bir şaka yaptı. Şimdi, savaşı sona erdiren düşünüyorum.</t>
  </si>
  <si>
    <t>event1_4</t>
  </si>
  <si>
    <t>hero&gt;No. I didn’t. We. We ended the war.</t>
  </si>
  <si>
    <t>hero&gt;내가 아니야. 우리가 끝낸거지. 휴먼족과 오크족이 말이야.</t>
  </si>
  <si>
    <t>hero&gt;No` yo no. Nosotros` nosotros la hemos terminado.</t>
  </si>
  <si>
    <t>hero&gt;Нет, не я. Мы! Мы закончили эту войну.</t>
  </si>
  <si>
    <t>hero&gt;Non. C'est faux. Nous avons mis fin à la guerre.</t>
  </si>
  <si>
    <t>hero&gt; Nein. Ich tat es nicht. Wir. Wir beendeten den Krieg.</t>
  </si>
  <si>
    <t>hero&gt;Hayır. Ben yapmadım. Biz. Biz savaşı sona erdi.</t>
  </si>
  <si>
    <t>event1_5</t>
  </si>
  <si>
    <t>orc&gt;OAHOAHOHOAA!</t>
  </si>
  <si>
    <t>orc&gt;우오우오오우오오!</t>
  </si>
  <si>
    <t>orc&gt;¡OAHOAHOHOAA!</t>
  </si>
  <si>
    <t>orc&gt;ОРАРАРАРА!!</t>
  </si>
  <si>
    <t>orc&gt; OAHOAHOHOAA!</t>
  </si>
  <si>
    <t>event1_6</t>
  </si>
  <si>
    <t>hero&gt;See?</t>
  </si>
  <si>
    <t>hero&gt;들었지?</t>
  </si>
  <si>
    <t>hero&gt;¿Ves?</t>
  </si>
  <si>
    <t>hero&gt;Видишь?</t>
  </si>
  <si>
    <t>hero&gt;Tu vois ?</t>
  </si>
  <si>
    <t>hero&gt; sehen?</t>
  </si>
  <si>
    <t>hero&gt;görüyor musunuz?</t>
  </si>
  <si>
    <t>event1_7</t>
  </si>
  <si>
    <t>undead&gt;Ha!</t>
  </si>
  <si>
    <t>undead&gt;뭘?</t>
  </si>
  <si>
    <t>undead&gt;¡Já!</t>
  </si>
  <si>
    <t>undead&gt;Ха!</t>
  </si>
  <si>
    <t>undead&gt; Ha !</t>
  </si>
  <si>
    <t>event1_8</t>
  </si>
  <si>
    <t>undead&gt;Like I said. You never learn.</t>
  </si>
  <si>
    <t>undead&gt;잘 들어봐. 정말 휴먼족과 오크족을 우리라고 말하고 싶은거야?</t>
  </si>
  <si>
    <t>undead&gt; Como ya dije. Nunca aprendéis.</t>
  </si>
  <si>
    <t>undead&gt;Как я и говорил. Вы ничему не учитесь.</t>
  </si>
  <si>
    <t>undead&gt; Comme je l'ai dis, Vous n'apprenez jamais.</t>
  </si>
  <si>
    <t>undead&gt;Wie ich schon sagte. Du lernst nie.</t>
  </si>
  <si>
    <t>undead&gt;Dediğim gibi. Sen öğrenemezler.</t>
  </si>
  <si>
    <t>event1_9</t>
  </si>
  <si>
    <t>hero&gt;What?</t>
  </si>
  <si>
    <t>hero&gt;무슨 말이지?</t>
  </si>
  <si>
    <t>hero&gt;¿A qué te refieres?</t>
  </si>
  <si>
    <t>hero&gt;Да о чем ты?</t>
  </si>
  <si>
    <t>hero&gt;Quoi ?</t>
  </si>
  <si>
    <t>hero&gt; Was?</t>
  </si>
  <si>
    <t>hero&gt;Ne?</t>
  </si>
  <si>
    <t>event1_10</t>
  </si>
  <si>
    <t>undead&gt;Do you think peace came to the world?</t>
  </si>
  <si>
    <t>undead&gt;휴먼족과 오크족이 평생 동맹이라도 할 줄 알았냔 말이야.</t>
  </si>
  <si>
    <t>undead&gt;¿Crees que hay paz en el mundo?</t>
  </si>
  <si>
    <t>undead&gt;Я ждал, что настанет-таки мир между Человеком и Орком...</t>
  </si>
  <si>
    <t>undead&gt; Tu pense que la paix s'est répandue dans le monde ?</t>
  </si>
  <si>
    <t>undead&gt;Glauben Sie, Frieden in die Welt gekommen ist?</t>
  </si>
  <si>
    <t>undead&gt;Barış dünyaya geldi sence?</t>
  </si>
  <si>
    <t>event1_11</t>
  </si>
  <si>
    <t>hero&gt;It is. orcs and humans are friends now.</t>
  </si>
  <si>
    <t>hero&gt;물론이지! 나 이제 깨달아요~ 휴먼족과 오크족도 친구가 될 수 있음을~</t>
  </si>
  <si>
    <t>hero&gt;Ahora que orcos y humanos somos amigos` sí.</t>
  </si>
  <si>
    <t>hero&gt;Так и есть. Орки и люди теперь друзья.</t>
  </si>
  <si>
    <t>hero&gt;Bien sûr. Les Orcs et les Humains sont amis maintenant.</t>
  </si>
  <si>
    <t>hero&gt; Es ist. Orcs und Menschen sind nun Freunde.</t>
  </si>
  <si>
    <t>hero&gt;öyle. Orklar ve insanlar artık arkadaşlar.</t>
  </si>
  <si>
    <t>event1_12</t>
  </si>
  <si>
    <t>undead&gt;HAHAHAHAHAHAHAHA(yell)</t>
  </si>
  <si>
    <t>undead&gt;푸하하하하하하하하!(yell)</t>
  </si>
  <si>
    <t>undead&gt;JAJAJAJAJAJAJAJA(yell)</t>
  </si>
  <si>
    <t>undead&gt; HAHAHAHAHAHAHAHA</t>
  </si>
  <si>
    <t>undead&gt;HAHAHAHAHAHAHAHA (Schrei)</t>
  </si>
  <si>
    <t>undead&gt;hahahahahahahaha (bağır)</t>
  </si>
  <si>
    <t>event1_13</t>
  </si>
  <si>
    <t>undead&gt;Let me ask the orcs if that is true.</t>
  </si>
  <si>
    <t>undead&gt;어디 오크족도 그렇게 생각하는지 물어볼까?</t>
  </si>
  <si>
    <t>undead&gt;Permíteme que le pregunte a los orcos al respecto.</t>
  </si>
  <si>
    <t>undead&gt;... Позволь-ка мне спросить Орка, правда ли это.</t>
  </si>
  <si>
    <t>undead&gt; Laisse-moi poser la question aux Orcs.</t>
  </si>
  <si>
    <t>undead&gt;Lassen Sie mich die Orcs fragen, ob das wahr ist.</t>
  </si>
  <si>
    <t>undead&gt;doğrudur varsa bana Orkları soralım.</t>
  </si>
  <si>
    <t>event1_14</t>
  </si>
  <si>
    <t>undead&gt;Hey pal. After you kill me, who do you want to kill next?</t>
  </si>
  <si>
    <t>undead&gt;거기 오크 친구. 자네가 날 죽이면 그 뒤엔 누구를 죽일건가?</t>
  </si>
  <si>
    <t>undead&gt;Ey` chaval. ¿A quién quieres matar después de acabar conmigo?</t>
  </si>
  <si>
    <t>undead&gt;Эй, приятель. После того, как ты убьешь меня, кого ты хочешь убить следующим?</t>
  </si>
  <si>
    <t>undead&gt; Hey les gars. Après m'avoir tué, vous voulez tuer qui ?</t>
  </si>
  <si>
    <t>undead&gt;Hey Kumpel. Nachdem Sie mich töten, die wollen Sie als nächstes töten?</t>
  </si>
  <si>
    <t>undead&gt;Dostum. Beni öldürdükten sonra, bir sonraki öldürmek kimi istiyorsun?</t>
  </si>
  <si>
    <t>event1_15</t>
  </si>
  <si>
    <t>orc&gt;I kill you and pity annoying humans!</t>
  </si>
  <si>
    <t>orc&gt;너 죽는다 나한테! 그리고 휴먼족도 다 뭉개버린다!</t>
  </si>
  <si>
    <t>orc&gt;Yo matar a tu y luego matar a humano lamentable.</t>
  </si>
  <si>
    <t>orc&gt;Я убью тебя, а потом и этих жалких надоедливых человеков!!</t>
  </si>
  <si>
    <t>orc&gt;Je tue toi et misérables humains !</t>
  </si>
  <si>
    <t>orc&gt; ich dich töten und Mitleid ärgerlich Menschen!</t>
  </si>
  <si>
    <t>orc&gt; Sen ve acıma can sıkıcı insanları öldürmek!</t>
  </si>
  <si>
    <t>event1_16</t>
  </si>
  <si>
    <t>hero&gt;WHAT?(yell)</t>
  </si>
  <si>
    <t>hero&gt;머라꼬?(yell)</t>
  </si>
  <si>
    <t>hero&gt;ЧТО? КАК?!(yell)</t>
  </si>
  <si>
    <t>hero&gt; Was? (Schrei)</t>
  </si>
  <si>
    <t>hero&gt;NE? (bağırma)</t>
  </si>
  <si>
    <t>event1_17</t>
  </si>
  <si>
    <t>undead&gt;See?</t>
  </si>
  <si>
    <t>undead&gt;들었지?</t>
  </si>
  <si>
    <t>undead&gt;¿Ves?</t>
  </si>
  <si>
    <t>undead&gt;Видишь?</t>
  </si>
  <si>
    <t>undead&gt; Tu vois ?</t>
  </si>
  <si>
    <t>undead&gt;sehen?</t>
  </si>
  <si>
    <t>undead&gt;görüyor musunuz?</t>
  </si>
  <si>
    <t>event1_18</t>
  </si>
  <si>
    <t>hero&gt;What are you talking about? We are friends now.</t>
  </si>
  <si>
    <t>hero&gt;무슨 말이야? 이제 우린 동료잖아! 내 목숨까지 구해줬잖아?</t>
  </si>
  <si>
    <t>hero&gt;¿De qué estás hablando? Ahora somos amigos.</t>
  </si>
  <si>
    <t>hero&gt;Как ты мог? Мы же сейчас друзья.</t>
  </si>
  <si>
    <t>hero&gt;De quoi tu parles ? Nous sommes amis maintenant.</t>
  </si>
  <si>
    <t>hero&gt; Was redest du da? Wir sind jetzt Freunde.</t>
  </si>
  <si>
    <t>hero&gt;Ne diyorsun sen? Şimdi arkadaşız.</t>
  </si>
  <si>
    <t>event1_19</t>
  </si>
  <si>
    <t>orc&gt;Kidding me? No friends between Human and Orc. Orc kill Human. Bad Human.</t>
  </si>
  <si>
    <t>orc&gt;강아지 풀 심는 소리! 오크족 휴먼족 친구 못한다! 휴먼족 나쁘다! 겁나 나쁘다!</t>
  </si>
  <si>
    <t>orc&gt;¡Paparruchas! No amigos entre orcos y humanos. Orco matar humano. Humano malo.</t>
  </si>
  <si>
    <t>orc&gt;Чушь собачья! Никакой дружбы между орками и человеками. Орк убивает Человека. Человек плохой.</t>
  </si>
  <si>
    <t>orc&gt;Mensonge ! Pas amis Humains et Orcs. Orc tue Humain. Méchant Humain.</t>
  </si>
  <si>
    <t>orc&gt; Kein Freund geworden Mensch und Ork. Orc töten Menschen. Bad Mensch.</t>
  </si>
  <si>
    <t>orc&gt; Saçma! Hiçbir arkadaşı İnsan ve Ork'unuzu olur. Ork İnsan öldürmek. Kötü İnsan.</t>
  </si>
  <si>
    <t>event1_20</t>
  </si>
  <si>
    <t>hero&gt;Why is Human bad? You are the one who kills.</t>
  </si>
  <si>
    <t>hero&gt;왜 휴먼족이 나쁜거야? 틈만 나면 다 뭉개버리는 건 너희들이잖아!</t>
  </si>
  <si>
    <t>hero&gt;¿Por qué los humanos son los malos? Tu eres el que va matando por ahí.</t>
  </si>
  <si>
    <t>hero&gt;Почему люди плохие? Вы же убиваете их, не наоборот.</t>
  </si>
  <si>
    <t>hero&gt;Les humains sont méchants ? Vous êtes ceux qui tuent.</t>
  </si>
  <si>
    <t>hero&gt; Warum ist menschlich schlecht? Du bist derjenige, der tötet.</t>
  </si>
  <si>
    <t>hero&gt;Neden İnsan kötü? Sen öldüren birisidir.</t>
  </si>
  <si>
    <t>event1_21</t>
  </si>
  <si>
    <t>orc&gt;Orc kill human. Because Human kill everything else.</t>
  </si>
  <si>
    <t>orc&gt;오크는 휴먼 뭉갠다! 왜냐하면 휴먼은 세상 모든걸 다 뭉개버리기 때문이다!</t>
  </si>
  <si>
    <t>orc&gt;Orco matar a humano porque humano matar todo lo demás.</t>
  </si>
  <si>
    <t>orc&gt;Орк убивает Человека, потому что Человек уничтожает все остальное.</t>
  </si>
  <si>
    <t>orc&gt;Orc tue Humain. Humain tue tout.</t>
  </si>
  <si>
    <t>Orc&gt; Orc Menschen töten. Weil Menschen töten alles andere.</t>
  </si>
  <si>
    <t>orc&gt; Ork insanı öldürür. İnsan her şeyi öldürmek için.</t>
  </si>
  <si>
    <t>event1_22</t>
  </si>
  <si>
    <t>hero&gt;I have no idea what you are talking about.</t>
  </si>
  <si>
    <t>hero&gt;무슨 말인지 하나도 모르겠군.</t>
  </si>
  <si>
    <t>hero&gt;No sé de qué estás hablando.</t>
  </si>
  <si>
    <t>hero&gt;Понятия не имею, о чем ты говоришь.</t>
  </si>
  <si>
    <t>hero&gt;De quoi est-ce que tu parles ?</t>
  </si>
  <si>
    <t>hero&gt; Ich habe keine Ahnung, was Sie reden.</t>
  </si>
  <si>
    <t>hero&gt;Sana ne konuştuğunu hiçbir fikrim yok.</t>
  </si>
  <si>
    <t>event1_23</t>
  </si>
  <si>
    <t>undead&gt;See? You guys never learn. That’s why I wanted to bring end to the world.</t>
  </si>
  <si>
    <t>undead&gt;봤지? 너희들은 항상 똑같다니깐. 그래서 이 세상엔 리프뤠쉬가 필요한거야. 종말이 필요해.</t>
  </si>
  <si>
    <t>undead&gt;¿Ves? Nunca aprendéis. Por eso quería destruir el mundo.</t>
  </si>
  <si>
    <t>undead&gt;Видите? Вы, господа, ничему не научились. Вот почему я собираюсь избавиться от вашего мира.</t>
  </si>
  <si>
    <t>undead&gt; Vous voyez ? Vous n'apprenez jamais. C'est pour cette raison que j'ai voulu détruire ce monde.</t>
  </si>
  <si>
    <t>undead&gt;sehen? Ihr habt nie lernen. Deshalb habe ich Ende der Welt bringen wollte.</t>
  </si>
  <si>
    <t>undead&gt;görüyor musunuz? Sizler öğrenemezler. Ben dünyaya sonunu getirmek istediğini bu yüzden.</t>
  </si>
  <si>
    <t>event1_24</t>
  </si>
  <si>
    <t>undead&gt;That is the only solution.</t>
  </si>
  <si>
    <t>undead&gt;그게 유일한 해결책이야.</t>
  </si>
  <si>
    <t>undead&gt;Esa es la única solución.</t>
  </si>
  <si>
    <t>undead&gt;Это единственный выход.</t>
  </si>
  <si>
    <t>undead&gt; C'est la seule solution.</t>
  </si>
  <si>
    <t>undead&gt;Das ist die einzige Lösung.</t>
  </si>
  <si>
    <t>undead&gt;Bu tek çözümdür.</t>
  </si>
  <si>
    <t>event1_25</t>
  </si>
  <si>
    <t>undead&gt;And it is still on the way.</t>
  </si>
  <si>
    <t>undead&gt;그리고 아직 진행중이지! 무와하!</t>
  </si>
  <si>
    <t>undead&gt;Y sigue siendo la única manera.</t>
  </si>
  <si>
    <t>undead&gt;Все еще в процессе. Ждите конца...</t>
  </si>
  <si>
    <t>undead&gt; Et c'est toujours en bonne voie.</t>
  </si>
  <si>
    <t>undead&gt;Und es ist immer noch auf dem Weg.</t>
  </si>
  <si>
    <t>undead&gt;Ve yolda hala.</t>
  </si>
  <si>
    <t>event1_26</t>
  </si>
  <si>
    <t>hero&gt;He’s gone!</t>
  </si>
  <si>
    <t>hero&gt;가버렸어!</t>
  </si>
  <si>
    <t>hero&gt;¡Ya no está!</t>
  </si>
  <si>
    <t>hero&gt;Он ушел!</t>
  </si>
  <si>
    <t>hero&gt;Il a disparu !</t>
  </si>
  <si>
    <t>hero&gt; Er ist weg!</t>
  </si>
  <si>
    <t>hero&gt;Gitti!</t>
  </si>
  <si>
    <t>event1_27</t>
  </si>
  <si>
    <t>orc&gt;He died. Zombie died. Now human!</t>
  </si>
  <si>
    <t>orc&gt;레밍머시기 죽었다! 이제 휴먼 차례다! 거기 딱 서있어라!</t>
  </si>
  <si>
    <t>orc&gt;Muerto. Zombi muerto. Ahora humano.</t>
  </si>
  <si>
    <t>orc&gt;Он мертв. И зомби мертвы. Теперь время умирать человеку!</t>
  </si>
  <si>
    <t>orc&gt;Lui mort. Zombie mort. Maintenant Humain !</t>
  </si>
  <si>
    <t>orc&gt; Er starb. Zombie starb. Jetzt Mensch!</t>
  </si>
  <si>
    <t>orc&gt; öldü. Zombi öldü. Şimdi insan!</t>
  </si>
  <si>
    <t>event1_28</t>
  </si>
  <si>
    <t>orc&gt;OAHAOHAOAHOAHOAHOAHOAHOA!(yell)</t>
  </si>
  <si>
    <t>orc&gt;우오우오오오오오!(yell)</t>
  </si>
  <si>
    <t>orc&gt;¡OAHAOHAOAHOAHOAHOAHOAHOA!(yell)</t>
  </si>
  <si>
    <t>orc&gt;УОРОРАРАРАРАОА!!!(yell)</t>
  </si>
  <si>
    <t>orc&gt;OAHAOHAOAHOAHOAHOAHOAHOA !</t>
  </si>
  <si>
    <t>orc&gt; OAHAOHAOAHOAHOAHOAHOAHOA! (Schrei)</t>
  </si>
  <si>
    <t>orc&gt; OAHAOHAOAHOAHOAHOAHOAHOA! (bağırma)</t>
  </si>
  <si>
    <t>event1_29</t>
  </si>
  <si>
    <t>hero&gt;WAIT!(yell)</t>
  </si>
  <si>
    <t>hero&gt;자..잠깐만!(yell)</t>
  </si>
  <si>
    <t>hero&gt;¡Espera!(yell)</t>
  </si>
  <si>
    <t>hero&gt;СТОЙ!(yell)</t>
  </si>
  <si>
    <t>hero&gt;ATTENDEZ !</t>
  </si>
  <si>
    <t>hero&gt; WARTEN! (Schrei)</t>
  </si>
  <si>
    <t>hero&gt;BEKLE! (bağırma)</t>
  </si>
  <si>
    <t>Japanese</t>
    <phoneticPr fontId="11"/>
  </si>
  <si>
    <t>Full Package</t>
    <phoneticPr fontId="11"/>
  </si>
  <si>
    <t>韓国語</t>
    <rPh sb="0" eb="3">
      <t>カンコクゴ</t>
    </rPh>
    <phoneticPr fontId="11"/>
  </si>
  <si>
    <t>英語</t>
    <rPh sb="0" eb="2">
      <t>エイゴ</t>
    </rPh>
    <phoneticPr fontId="11"/>
  </si>
  <si>
    <t>ロシア語</t>
    <rPh sb="3" eb="4">
      <t>ゴ</t>
    </rPh>
    <phoneticPr fontId="11"/>
  </si>
  <si>
    <t>フランス語</t>
    <rPh sb="4" eb="5">
      <t>ゴ</t>
    </rPh>
    <phoneticPr fontId="11"/>
  </si>
  <si>
    <t>トルコ語</t>
    <rPh sb="3" eb="4">
      <t>ゴ</t>
    </rPh>
    <phoneticPr fontId="11"/>
  </si>
  <si>
    <t>ドイツ語</t>
    <rPh sb="3" eb="4">
      <t>ゴ</t>
    </rPh>
    <phoneticPr fontId="11"/>
  </si>
  <si>
    <t>スペイン語</t>
    <rPh sb="4" eb="5">
      <t>ゴ</t>
    </rPh>
    <phoneticPr fontId="11"/>
  </si>
  <si>
    <t>言語</t>
    <rPh sb="0" eb="2">
      <t>ゲンゴ</t>
    </rPh>
    <phoneticPr fontId="11"/>
  </si>
  <si>
    <t>メニュー</t>
    <phoneticPr fontId="11"/>
  </si>
  <si>
    <t>確認</t>
    <rPh sb="0" eb="2">
      <t>カクニン</t>
    </rPh>
    <phoneticPr fontId="11"/>
  </si>
  <si>
    <t>戻る</t>
    <rPh sb="0" eb="1">
      <t>モド</t>
    </rPh>
    <phoneticPr fontId="11"/>
  </si>
  <si>
    <t>キャンセル</t>
    <phoneticPr fontId="11"/>
  </si>
  <si>
    <t>設定</t>
    <rPh sb="0" eb="2">
      <t>セッテイ</t>
    </rPh>
    <phoneticPr fontId="11"/>
  </si>
  <si>
    <t>ネットワーク再設定</t>
    <rPh sb="6" eb="9">
      <t>サイセッテイ</t>
    </rPh>
    <phoneticPr fontId="11"/>
  </si>
  <si>
    <r>
      <rPr>
        <sz val="10"/>
        <color rgb="FF000000"/>
        <rFont val="Malgun Gothic"/>
        <family val="2"/>
        <charset val="129"/>
      </rPr>
      <t>네트워크</t>
    </r>
    <r>
      <rPr>
        <sz val="10"/>
        <color rgb="FF000000"/>
        <rFont val="Arial"/>
        <family val="2"/>
      </rPr>
      <t xml:space="preserve"> </t>
    </r>
    <r>
      <rPr>
        <sz val="10"/>
        <color rgb="FF000000"/>
        <rFont val="Malgun Gothic"/>
        <family val="2"/>
        <charset val="129"/>
      </rPr>
      <t>데이터를</t>
    </r>
    <r>
      <rPr>
        <sz val="10"/>
        <color rgb="FF000000"/>
        <rFont val="Arial"/>
        <family val="2"/>
      </rPr>
      <t xml:space="preserve"> </t>
    </r>
    <r>
      <rPr>
        <sz val="10"/>
        <color rgb="FF000000"/>
        <rFont val="Malgun Gothic"/>
        <family val="2"/>
        <charset val="129"/>
      </rPr>
      <t>초기화</t>
    </r>
    <r>
      <rPr>
        <sz val="10"/>
        <color rgb="FF000000"/>
        <rFont val="Arial"/>
        <family val="2"/>
      </rPr>
      <t xml:space="preserve"> </t>
    </r>
    <r>
      <rPr>
        <sz val="10"/>
        <color rgb="FF000000"/>
        <rFont val="Malgun Gothic"/>
        <family val="2"/>
        <charset val="129"/>
      </rPr>
      <t>합니다</t>
    </r>
    <r>
      <rPr>
        <sz val="10"/>
        <color rgb="FF000000"/>
        <rFont val="Arial"/>
        <family val="2"/>
      </rPr>
      <t xml:space="preserve">. </t>
    </r>
    <r>
      <rPr>
        <sz val="10"/>
        <color rgb="FF000000"/>
        <rFont val="Malgun Gothic"/>
        <family val="2"/>
        <charset val="129"/>
      </rPr>
      <t>시나리오</t>
    </r>
    <r>
      <rPr>
        <sz val="10"/>
        <color rgb="FF000000"/>
        <rFont val="Arial"/>
        <family val="2"/>
      </rPr>
      <t xml:space="preserve"> </t>
    </r>
    <r>
      <rPr>
        <sz val="10"/>
        <color rgb="FF000000"/>
        <rFont val="Malgun Gothic"/>
        <family val="2"/>
        <charset val="129"/>
      </rPr>
      <t>모드</t>
    </r>
    <r>
      <rPr>
        <sz val="10"/>
        <color rgb="FF000000"/>
        <rFont val="Arial"/>
        <family val="2"/>
      </rPr>
      <t xml:space="preserve"> </t>
    </r>
    <r>
      <rPr>
        <sz val="10"/>
        <color rgb="FF000000"/>
        <rFont val="Malgun Gothic"/>
        <family val="2"/>
        <charset val="129"/>
      </rPr>
      <t>데이터는</t>
    </r>
    <r>
      <rPr>
        <sz val="10"/>
        <color rgb="FF000000"/>
        <rFont val="Arial"/>
        <family val="2"/>
      </rPr>
      <t xml:space="preserve"> </t>
    </r>
    <r>
      <rPr>
        <sz val="10"/>
        <color rgb="FF000000"/>
        <rFont val="Malgun Gothic"/>
        <family val="2"/>
        <charset val="129"/>
      </rPr>
      <t>초기화</t>
    </r>
    <r>
      <rPr>
        <sz val="10"/>
        <color rgb="FF000000"/>
        <rFont val="Arial"/>
        <family val="2"/>
      </rPr>
      <t xml:space="preserve"> </t>
    </r>
    <r>
      <rPr>
        <sz val="10"/>
        <color rgb="FF000000"/>
        <rFont val="Malgun Gothic"/>
        <family val="2"/>
        <charset val="129"/>
      </rPr>
      <t>되지</t>
    </r>
    <r>
      <rPr>
        <sz val="10"/>
        <color rgb="FF000000"/>
        <rFont val="Arial"/>
        <family val="2"/>
      </rPr>
      <t xml:space="preserve"> </t>
    </r>
    <r>
      <rPr>
        <sz val="10"/>
        <color rgb="FF000000"/>
        <rFont val="Malgun Gothic"/>
        <family val="2"/>
        <charset val="129"/>
      </rPr>
      <t>않습니다</t>
    </r>
    <r>
      <rPr>
        <sz val="10"/>
        <color rgb="FF000000"/>
        <rFont val="Arial"/>
        <family val="2"/>
      </rPr>
      <t xml:space="preserve">. </t>
    </r>
    <r>
      <rPr>
        <sz val="10"/>
        <color rgb="FF000000"/>
        <rFont val="Malgun Gothic"/>
        <family val="2"/>
        <charset val="129"/>
      </rPr>
      <t>초기화</t>
    </r>
    <r>
      <rPr>
        <sz val="10"/>
        <color rgb="FF000000"/>
        <rFont val="Arial"/>
        <family val="2"/>
      </rPr>
      <t xml:space="preserve"> </t>
    </r>
    <r>
      <rPr>
        <sz val="10"/>
        <color rgb="FF000000"/>
        <rFont val="Malgun Gothic"/>
        <family val="2"/>
        <charset val="129"/>
      </rPr>
      <t>하시겠습니까</t>
    </r>
    <r>
      <rPr>
        <sz val="10"/>
        <color rgb="FF000000"/>
        <rFont val="Arial"/>
        <family val="2"/>
      </rPr>
      <t>?</t>
    </r>
    <phoneticPr fontId="11"/>
  </si>
  <si>
    <t>ネットワークデータを初期化します。シナリオモードのデータは初期化されません。初期化しますか？</t>
    <rPh sb="10" eb="13">
      <t>ショキカ</t>
    </rPh>
    <rPh sb="29" eb="32">
      <t>ショキカ</t>
    </rPh>
    <rPh sb="38" eb="41">
      <t>ショキカ</t>
    </rPh>
    <phoneticPr fontId="11"/>
  </si>
  <si>
    <t>そこには建てられません。</t>
    <rPh sb="4" eb="5">
      <t>タ</t>
    </rPh>
    <phoneticPr fontId="11"/>
  </si>
  <si>
    <t>ミッション成功</t>
    <rPh sb="5" eb="7">
      <t>セイコウ</t>
    </rPh>
    <phoneticPr fontId="11"/>
  </si>
  <si>
    <t>ミッション失敗</t>
    <rPh sb="5" eb="7">
      <t>シッパイ</t>
    </rPh>
    <phoneticPr fontId="11"/>
  </si>
  <si>
    <t>プレミアムステート</t>
    <phoneticPr fontId="11"/>
  </si>
  <si>
    <t>この資源を受け取ってスタートしてください。</t>
    <rPh sb="2" eb="4">
      <t>シゲン</t>
    </rPh>
    <rPh sb="5" eb="6">
      <t>ウ</t>
    </rPh>
    <rPh sb="7" eb="8">
      <t>ト</t>
    </rPh>
    <phoneticPr fontId="11"/>
  </si>
  <si>
    <t>There is no barracks available. Do you want to use gems to finish the job?</t>
    <phoneticPr fontId="11"/>
  </si>
  <si>
    <r>
      <rPr>
        <sz val="10"/>
        <color rgb="FF000000"/>
        <rFont val="Malgun Gothic"/>
        <family val="2"/>
        <charset val="129"/>
      </rPr>
      <t>모든</t>
    </r>
    <r>
      <rPr>
        <sz val="10"/>
        <color rgb="FF000000"/>
        <rFont val="Arial"/>
        <family val="2"/>
      </rPr>
      <t xml:space="preserve"> </t>
    </r>
    <r>
      <rPr>
        <sz val="10"/>
        <color rgb="FF000000"/>
        <rFont val="Malgun Gothic"/>
        <family val="2"/>
        <charset val="129"/>
      </rPr>
      <t>일꾼들이</t>
    </r>
    <r>
      <rPr>
        <sz val="10"/>
        <color rgb="FF000000"/>
        <rFont val="Arial"/>
        <family val="2"/>
      </rPr>
      <t xml:space="preserve"> </t>
    </r>
    <r>
      <rPr>
        <sz val="10"/>
        <color rgb="FF000000"/>
        <rFont val="Malgun Gothic"/>
        <family val="2"/>
        <charset val="129"/>
      </rPr>
      <t>작업중입니다</t>
    </r>
    <r>
      <rPr>
        <sz val="10"/>
        <color rgb="FF000000"/>
        <rFont val="Arial"/>
        <family val="2"/>
      </rPr>
      <t xml:space="preserve">. </t>
    </r>
    <r>
      <rPr>
        <sz val="10"/>
        <color rgb="FF000000"/>
        <rFont val="Malgun Gothic"/>
        <family val="2"/>
        <charset val="129"/>
      </rPr>
      <t>보석을</t>
    </r>
    <r>
      <rPr>
        <sz val="10"/>
        <color rgb="FF000000"/>
        <rFont val="Arial"/>
        <family val="2"/>
      </rPr>
      <t xml:space="preserve"> </t>
    </r>
    <r>
      <rPr>
        <sz val="10"/>
        <color rgb="FF000000"/>
        <rFont val="Malgun Gothic"/>
        <family val="2"/>
        <charset val="129"/>
      </rPr>
      <t>사용해</t>
    </r>
    <r>
      <rPr>
        <sz val="10"/>
        <color rgb="FF000000"/>
        <rFont val="Arial"/>
        <family val="2"/>
      </rPr>
      <t xml:space="preserve"> </t>
    </r>
    <r>
      <rPr>
        <sz val="10"/>
        <color rgb="FF000000"/>
        <rFont val="Malgun Gothic"/>
        <family val="2"/>
        <charset val="129"/>
      </rPr>
      <t>진행중인</t>
    </r>
    <r>
      <rPr>
        <sz val="10"/>
        <color rgb="FF000000"/>
        <rFont val="Arial"/>
        <family val="2"/>
      </rPr>
      <t xml:space="preserve"> </t>
    </r>
    <r>
      <rPr>
        <sz val="10"/>
        <color rgb="FF000000"/>
        <rFont val="Malgun Gothic"/>
        <family val="2"/>
        <charset val="129"/>
      </rPr>
      <t>작업을</t>
    </r>
    <r>
      <rPr>
        <sz val="10"/>
        <color rgb="FF000000"/>
        <rFont val="Arial"/>
        <family val="2"/>
      </rPr>
      <t xml:space="preserve"> </t>
    </r>
    <r>
      <rPr>
        <sz val="10"/>
        <color rgb="FF000000"/>
        <rFont val="Malgun Gothic"/>
        <family val="2"/>
        <charset val="129"/>
      </rPr>
      <t>완료하시겠습니까</t>
    </r>
    <r>
      <rPr>
        <sz val="10"/>
        <color rgb="FF000000"/>
        <rFont val="Arial"/>
        <family val="2"/>
      </rPr>
      <t>?</t>
    </r>
    <phoneticPr fontId="11"/>
  </si>
  <si>
    <t>この兵士はもう雇用されています。</t>
    <rPh sb="2" eb="4">
      <t>ヘイシ</t>
    </rPh>
    <rPh sb="7" eb="9">
      <t>コヨウ</t>
    </rPh>
    <phoneticPr fontId="11"/>
  </si>
  <si>
    <t>この兵士を解雇しますか？</t>
    <rPh sb="2" eb="4">
      <t>ヘイシ</t>
    </rPh>
    <rPh sb="5" eb="7">
      <t>カイコ</t>
    </rPh>
    <phoneticPr fontId="11"/>
  </si>
  <si>
    <t>はい</t>
    <phoneticPr fontId="11"/>
  </si>
  <si>
    <t>いいえ</t>
    <phoneticPr fontId="11"/>
  </si>
  <si>
    <t>新しい傭兵の登場まで残り時間</t>
    <rPh sb="0" eb="1">
      <t>アタラ</t>
    </rPh>
    <rPh sb="3" eb="5">
      <t>ヨウヘイ</t>
    </rPh>
    <rPh sb="6" eb="8">
      <t>トウジョウ</t>
    </rPh>
    <rPh sb="10" eb="11">
      <t>ノコ</t>
    </rPh>
    <rPh sb="12" eb="14">
      <t>ジカン</t>
    </rPh>
    <phoneticPr fontId="11"/>
  </si>
  <si>
    <t>デッキ</t>
    <phoneticPr fontId="11"/>
  </si>
  <si>
    <t>インベントリー</t>
    <phoneticPr fontId="11"/>
  </si>
  <si>
    <t>インベントリーの保存場所が空いていません。</t>
    <rPh sb="8" eb="10">
      <t>ホゾン</t>
    </rPh>
    <rPh sb="10" eb="12">
      <t>バショ</t>
    </rPh>
    <rPh sb="13" eb="14">
      <t>ア</t>
    </rPh>
    <phoneticPr fontId="11"/>
  </si>
  <si>
    <t>Refresh</t>
    <phoneticPr fontId="11"/>
  </si>
  <si>
    <t>更新</t>
    <rPh sb="0" eb="2">
      <t>コウシン</t>
    </rPh>
    <phoneticPr fontId="11"/>
  </si>
  <si>
    <t>다음 상대</t>
  </si>
  <si>
    <t>빈 땅을 누르면 전투가 시작됩니다</t>
  </si>
  <si>
    <t>공격 할 병사가 없습니다.</t>
  </si>
  <si>
    <t>降参</t>
    <rPh sb="0" eb="2">
      <t>コウサン</t>
    </rPh>
    <phoneticPr fontId="11"/>
  </si>
  <si>
    <t>次の相手</t>
    <rPh sb="0" eb="1">
      <t>ツギ</t>
    </rPh>
    <rPh sb="2" eb="4">
      <t>アイテ</t>
    </rPh>
    <phoneticPr fontId="11"/>
  </si>
  <si>
    <t>空いている場所をタップすると戦闘が始まります。</t>
    <rPh sb="0" eb="1">
      <t>ア</t>
    </rPh>
    <rPh sb="5" eb="7">
      <t>バショ</t>
    </rPh>
    <rPh sb="14" eb="16">
      <t>セントウ</t>
    </rPh>
    <rPh sb="17" eb="18">
      <t>ハジ</t>
    </rPh>
    <phoneticPr fontId="11"/>
  </si>
  <si>
    <t>攻撃できる兵士がいません。</t>
    <rPh sb="0" eb="2">
      <t>コウゲキ</t>
    </rPh>
    <rPh sb="5" eb="7">
      <t>ヘイシ</t>
    </rPh>
    <phoneticPr fontId="11"/>
  </si>
  <si>
    <t>反撃</t>
    <rPh sb="0" eb="2">
      <t>ハンゲキ</t>
    </rPh>
    <phoneticPr fontId="11"/>
  </si>
  <si>
    <t>ディフェンス記録</t>
    <rPh sb="6" eb="8">
      <t>キロク</t>
    </rPh>
    <phoneticPr fontId="11"/>
  </si>
  <si>
    <t>ランキング</t>
    <phoneticPr fontId="11"/>
  </si>
  <si>
    <t>방문</t>
  </si>
  <si>
    <t>소리</t>
  </si>
  <si>
    <t>1 일</t>
  </si>
  <si>
    <t>24 시간</t>
  </si>
  <si>
    <t>6 시간</t>
  </si>
  <si>
    <t>손실 자원을 방지</t>
  </si>
  <si>
    <t>만료</t>
  </si>
  <si>
    <t>캠페인 승리</t>
  </si>
  <si>
    <t>로컬 전투를 승리</t>
  </si>
  <si>
    <t>네트워크 전투</t>
  </si>
  <si>
    <t>도전</t>
  </si>
  <si>
    <t>일일 임무</t>
  </si>
  <si>
    <t>매일 보상</t>
  </si>
  <si>
    <t>유닛의 레벨은 성의 수준을 초과 할 수 없습니다.</t>
  </si>
  <si>
    <t>당신은 이미 최고 수준에 도달했습니다.</t>
  </si>
  <si>
    <t>마지막 기회</t>
  </si>
  <si>
    <t>싱글 플레이</t>
  </si>
  <si>
    <t>멀티 플레이</t>
  </si>
  <si>
    <r>
      <rPr>
        <sz val="10"/>
        <color rgb="FF000000"/>
        <rFont val="Malgun Gothic"/>
        <family val="2"/>
        <charset val="129"/>
      </rPr>
      <t>네트워크</t>
    </r>
    <r>
      <rPr>
        <sz val="10"/>
        <color rgb="FF000000"/>
        <rFont val="Arial"/>
        <family val="2"/>
      </rPr>
      <t xml:space="preserve"> </t>
    </r>
    <r>
      <rPr>
        <sz val="10"/>
        <color rgb="FF000000"/>
        <rFont val="Malgun Gothic"/>
        <family val="2"/>
        <charset val="129"/>
      </rPr>
      <t>전투를</t>
    </r>
    <r>
      <rPr>
        <sz val="10"/>
        <color rgb="FF000000"/>
        <rFont val="Arial"/>
        <family val="2"/>
      </rPr>
      <t xml:space="preserve"> </t>
    </r>
    <r>
      <rPr>
        <sz val="10"/>
        <color rgb="FF000000"/>
        <rFont val="Malgun Gothic"/>
        <family val="2"/>
        <charset val="129"/>
      </rPr>
      <t>승리</t>
    </r>
    <phoneticPr fontId="11"/>
  </si>
  <si>
    <t>VISIT</t>
    <phoneticPr fontId="11"/>
  </si>
  <si>
    <t>サウンド</t>
    <phoneticPr fontId="11"/>
  </si>
  <si>
    <t>受け取る</t>
    <rPh sb="0" eb="1">
      <t>ウ</t>
    </rPh>
    <rPh sb="2" eb="3">
      <t>ト</t>
    </rPh>
    <phoneticPr fontId="11"/>
  </si>
  <si>
    <t>24時間</t>
    <rPh sb="2" eb="4">
      <t>ジカン</t>
    </rPh>
    <phoneticPr fontId="11"/>
  </si>
  <si>
    <t>６時間</t>
    <rPh sb="1" eb="3">
      <t>ジカン</t>
    </rPh>
    <phoneticPr fontId="11"/>
  </si>
  <si>
    <t>１日</t>
    <rPh sb="1" eb="2">
      <t>ニチ</t>
    </rPh>
    <phoneticPr fontId="11"/>
  </si>
  <si>
    <t>shield desc</t>
    <phoneticPr fontId="11"/>
  </si>
  <si>
    <t>期限切れ</t>
    <rPh sb="0" eb="3">
      <t>キゲンギ</t>
    </rPh>
    <phoneticPr fontId="11"/>
  </si>
  <si>
    <t>アリーナバトルWIN</t>
    <phoneticPr fontId="11"/>
  </si>
  <si>
    <t>キャンペーンWIN</t>
    <phoneticPr fontId="11"/>
  </si>
  <si>
    <t>ネットワークバトルWIN</t>
    <phoneticPr fontId="11"/>
  </si>
  <si>
    <t>ローカルバトルWIN</t>
    <phoneticPr fontId="11"/>
  </si>
  <si>
    <t>ネットワークバトル</t>
    <phoneticPr fontId="11"/>
  </si>
  <si>
    <t>ローカルバトル</t>
    <phoneticPr fontId="11"/>
  </si>
  <si>
    <t>チャレンジ</t>
    <phoneticPr fontId="11"/>
  </si>
  <si>
    <t>デイリーミッション</t>
    <phoneticPr fontId="11"/>
  </si>
  <si>
    <t>デイリーリワード</t>
    <phoneticPr fontId="11"/>
  </si>
  <si>
    <t>ユニットLvは城のLvを超えることはできません。</t>
    <rPh sb="7" eb="8">
      <t>シロ</t>
    </rPh>
    <rPh sb="12" eb="13">
      <t>コ</t>
    </rPh>
    <phoneticPr fontId="11"/>
  </si>
  <si>
    <t>最大Lvです。</t>
    <rPh sb="0" eb="2">
      <t>サイダイ</t>
    </rPh>
    <phoneticPr fontId="11"/>
  </si>
  <si>
    <t>ラストチャンス</t>
    <phoneticPr fontId="11"/>
  </si>
  <si>
    <t>シングルプレイ</t>
    <phoneticPr fontId="11"/>
  </si>
  <si>
    <t>マルチプレイ</t>
    <phoneticPr fontId="11"/>
  </si>
  <si>
    <t>マッチング</t>
    <phoneticPr fontId="11"/>
  </si>
  <si>
    <t>宝石</t>
    <rPh sb="0" eb="2">
      <t>ホウセキ</t>
    </rPh>
    <phoneticPr fontId="11"/>
  </si>
  <si>
    <t>または</t>
    <phoneticPr fontId="11"/>
  </si>
  <si>
    <t>보석</t>
  </si>
  <si>
    <t>또는</t>
  </si>
  <si>
    <t>ショップ</t>
    <phoneticPr fontId="11"/>
  </si>
  <si>
    <t>ログ</t>
    <phoneticPr fontId="11"/>
  </si>
  <si>
    <t>デイリーボーナス</t>
    <phoneticPr fontId="11"/>
  </si>
  <si>
    <t>情報</t>
    <rPh sb="0" eb="2">
      <t>ジョウホウ</t>
    </rPh>
    <phoneticPr fontId="11"/>
  </si>
  <si>
    <t>訓練</t>
    <rPh sb="0" eb="2">
      <t>クンレン</t>
    </rPh>
    <phoneticPr fontId="11"/>
  </si>
  <si>
    <t>カット</t>
    <phoneticPr fontId="11"/>
  </si>
  <si>
    <t>アップグレード</t>
    <phoneticPr fontId="11"/>
  </si>
  <si>
    <t>完了</t>
    <rPh sb="0" eb="2">
      <t>カンリョウ</t>
    </rPh>
    <phoneticPr fontId="11"/>
  </si>
  <si>
    <t>この商品は１回のみ購入できます。</t>
    <rPh sb="2" eb="4">
      <t>ショウヒン</t>
    </rPh>
    <rPh sb="6" eb="7">
      <t>カイ</t>
    </rPh>
    <rPh sb="9" eb="11">
      <t>コウニュウ</t>
    </rPh>
    <phoneticPr fontId="11"/>
  </si>
  <si>
    <t>ユニットを２回タップすると同類のユニットすべてを選択することが可能です。</t>
    <rPh sb="6" eb="7">
      <t>カイ</t>
    </rPh>
    <rPh sb="13" eb="15">
      <t>ドウルイ</t>
    </rPh>
    <rPh sb="24" eb="26">
      <t>センタク</t>
    </rPh>
    <rPh sb="31" eb="33">
      <t>カノウ</t>
    </rPh>
    <phoneticPr fontId="11"/>
  </si>
  <si>
    <t>ゴールドを保存するには、城のアップグレードが必要です。</t>
    <rPh sb="5" eb="7">
      <t>ホゾン</t>
    </rPh>
    <rPh sb="12" eb="13">
      <t>シロ</t>
    </rPh>
    <rPh sb="22" eb="24">
      <t>ヒツヨウ</t>
    </rPh>
    <phoneticPr fontId="11"/>
  </si>
  <si>
    <t>木材を保存するには、城のアップグレードが必要です。</t>
    <rPh sb="0" eb="2">
      <t>モクザイ</t>
    </rPh>
    <rPh sb="3" eb="5">
      <t>ホゾン</t>
    </rPh>
    <rPh sb="10" eb="11">
      <t>シロ</t>
    </rPh>
    <rPh sb="20" eb="22">
      <t>ヒツヨウ</t>
    </rPh>
    <phoneticPr fontId="11"/>
  </si>
  <si>
    <t>ハッキングが発覚しました。アカウントがロックされます。</t>
    <rPh sb="6" eb="8">
      <t>ハッカク</t>
    </rPh>
    <phoneticPr fontId="11"/>
  </si>
  <si>
    <t>전투 모드에 오신 것을 환영합니다.</t>
  </si>
  <si>
    <t>당신은 광산에서 금을 수집 할 수 있습니다. 자동으로 금을 생산하고 있습니다. 그래서 방문하여 금을 수집하는 것을 잊지 마세요.</t>
  </si>
  <si>
    <t>당신은 나무를 절단하여 목재를 수집 할 수 있습니다. 더 목재에 대한 목재 공장을 구축 할 수 있습니다.</t>
  </si>
  <si>
    <t>당신이 충분한 자원을 가지고 있다면, 군인을 고용하는 병영을 구축 할 수 있습니다.</t>
  </si>
  <si>
    <t>대여 및 병영에서 병사를 업그레이드합니다.</t>
  </si>
  <si>
    <t>가게를 방문하십시오. 당신은 당신이 만들 수있는 것을 볼 수 있습니다.</t>
  </si>
  <si>
    <t>당신은 가능한 한 많은 건물을 건설해야한다. 그것은 도움이 될 것입니다.</t>
  </si>
  <si>
    <t>당신은 드래그하여 건물을 이동할 수 있습니다. 하지만 당신은 나무를 이동할 수 없습니다.</t>
  </si>
  <si>
    <t>다른 플레이어는 마을을 공격 할 수있다. 그리고 그들은 자원을 훔칠 수 있습니다.</t>
  </si>
  <si>
    <t>쉴드는 도둑질에서 당신의 자산 및 자원을 안전하게 보호 할 수 있습니다.</t>
  </si>
  <si>
    <t>튜토리얼 보상</t>
  </si>
  <si>
    <t>공격</t>
  </si>
  <si>
    <t>레벨 10 성이 필요합니다</t>
  </si>
  <si>
    <t>고독한 여행</t>
  </si>
  <si>
    <t>예기치 않은 적</t>
  </si>
  <si>
    <t>폭포 아래에서</t>
  </si>
  <si>
    <t>예언</t>
  </si>
  <si>
    <t>공공의 적</t>
  </si>
  <si>
    <t>파괴자</t>
  </si>
  <si>
    <t>부활</t>
  </si>
  <si>
    <t>특수 문자는 허용되지 않습니다.</t>
  </si>
  <si>
    <t>행운의 날</t>
  </si>
  <si>
    <t>첫 번째 챕터를 완료</t>
  </si>
  <si>
    <t>에피소드 오크를 완료</t>
  </si>
  <si>
    <t>상대를 찾는 데 실패했습니다. 나중에 다시 시도하십시오.</t>
  </si>
  <si>
    <t>승리</t>
  </si>
  <si>
    <t>오크가 자신의 부대를 위해 음식을 제공하는 곳이다.</t>
  </si>
  <si>
    <t>군인은이 건물에서 업그레이드 할 수 있습니다.</t>
  </si>
  <si>
    <t>궁수는 원거리에있는 적을 공격 할 수있다.</t>
  </si>
  <si>
    <t>고블린은 오크 위해 금과 목재를 수집합니다.</t>
  </si>
  <si>
    <t>고블린은 빠르고 매우 욕심이 있습니다.</t>
  </si>
  <si>
    <t>오크의 도끼는 매우 위험합니다.</t>
  </si>
  <si>
    <t>오크의 창은 총알처럼 날 수 있습니다.</t>
  </si>
  <si>
    <t>트롤은 매우 무겁고 느리다.</t>
  </si>
  <si>
    <t>일단 죽은 사람은 죽지 않는다.</t>
  </si>
  <si>
    <t>당신은 그들이 다시 죽을 수 있다고 생각하십니까?</t>
  </si>
  <si>
    <t>감염된 오크 전사</t>
  </si>
  <si>
    <t>감염된 사람</t>
  </si>
  <si>
    <t>복원 완료</t>
  </si>
  <si>
    <t>복원</t>
  </si>
  <si>
    <t>업그레이드 할 군인을 선택합니다.</t>
  </si>
  <si>
    <t>바베큐 파티</t>
  </si>
  <si>
    <t>バトルモードへようこそ</t>
    <phoneticPr fontId="11"/>
  </si>
  <si>
    <t>チュートリアルリワード</t>
    <phoneticPr fontId="11"/>
  </si>
  <si>
    <t>休憩中</t>
    <rPh sb="0" eb="2">
      <t>キュウケイ</t>
    </rPh>
    <rPh sb="2" eb="3">
      <t>チュウ</t>
    </rPh>
    <phoneticPr fontId="11"/>
  </si>
  <si>
    <t>攻撃</t>
    <rPh sb="0" eb="2">
      <t>コウゲキ</t>
    </rPh>
    <phoneticPr fontId="11"/>
  </si>
  <si>
    <t>城Lv.10以上が必要です。</t>
    <rPh sb="0" eb="1">
      <t>シロ</t>
    </rPh>
    <rPh sb="6" eb="8">
      <t>イジョウ</t>
    </rPh>
    <rPh sb="9" eb="11">
      <t>ヒツヨウ</t>
    </rPh>
    <phoneticPr fontId="11"/>
  </si>
  <si>
    <t>次のガチャまで</t>
    <rPh sb="0" eb="1">
      <t>ツギ</t>
    </rPh>
    <phoneticPr fontId="11"/>
  </si>
  <si>
    <t>孤独な旅</t>
    <rPh sb="0" eb="2">
      <t>コドク</t>
    </rPh>
    <rPh sb="3" eb="4">
      <t>タビ</t>
    </rPh>
    <phoneticPr fontId="11"/>
  </si>
  <si>
    <t>予期せぬ敵</t>
    <rPh sb="0" eb="2">
      <t>ヨキ</t>
    </rPh>
    <rPh sb="4" eb="5">
      <t>テキ</t>
    </rPh>
    <phoneticPr fontId="11"/>
  </si>
  <si>
    <t>こじれた同盟</t>
    <rPh sb="4" eb="6">
      <t>ドウメイ</t>
    </rPh>
    <phoneticPr fontId="11"/>
  </si>
  <si>
    <t>滝の下で</t>
    <rPh sb="0" eb="1">
      <t>タキ</t>
    </rPh>
    <rPh sb="2" eb="3">
      <t>シタ</t>
    </rPh>
    <phoneticPr fontId="11"/>
  </si>
  <si>
    <t>四面楚歌</t>
    <phoneticPr fontId="11"/>
  </si>
  <si>
    <t>Surrounded</t>
    <phoneticPr fontId="11"/>
  </si>
  <si>
    <t>怒り</t>
    <rPh sb="0" eb="1">
      <t>イカ</t>
    </rPh>
    <phoneticPr fontId="11"/>
  </si>
  <si>
    <t>予言</t>
    <rPh sb="0" eb="2">
      <t>ヨゲン</t>
    </rPh>
    <phoneticPr fontId="11"/>
  </si>
  <si>
    <t>公共の敵</t>
    <phoneticPr fontId="11"/>
  </si>
  <si>
    <t>復讐者</t>
    <phoneticPr fontId="11"/>
  </si>
  <si>
    <t>破壊者</t>
    <rPh sb="0" eb="3">
      <t>ハカイシャ</t>
    </rPh>
    <phoneticPr fontId="11"/>
  </si>
  <si>
    <t>復活</t>
    <rPh sb="0" eb="2">
      <t>フッカツ</t>
    </rPh>
    <phoneticPr fontId="11"/>
  </si>
  <si>
    <t>前のチャプターをすべてクリアしてください。</t>
    <rPh sb="0" eb="1">
      <t>マエ</t>
    </rPh>
    <phoneticPr fontId="11"/>
  </si>
  <si>
    <t>Lucky Day</t>
    <phoneticPr fontId="11"/>
  </si>
  <si>
    <t>チャプター１をクリア</t>
    <phoneticPr fontId="11"/>
  </si>
  <si>
    <t>アリーナバトル20回勝利</t>
    <rPh sb="9" eb="10">
      <t>カイ</t>
    </rPh>
    <rPh sb="10" eb="12">
      <t>ショウリ</t>
    </rPh>
    <phoneticPr fontId="11"/>
  </si>
  <si>
    <t>エピソードオークをクリア</t>
    <phoneticPr fontId="11"/>
  </si>
  <si>
    <t>ゴールド</t>
    <phoneticPr fontId="11"/>
  </si>
  <si>
    <t>木材</t>
    <rPh sb="0" eb="2">
      <t>モクザイ</t>
    </rPh>
    <phoneticPr fontId="11"/>
  </si>
  <si>
    <t>生産されたユニット</t>
    <rPh sb="0" eb="2">
      <t>セイサン</t>
    </rPh>
    <phoneticPr fontId="11"/>
  </si>
  <si>
    <t>消去したユニット</t>
    <rPh sb="0" eb="2">
      <t>ショウキョ</t>
    </rPh>
    <phoneticPr fontId="11"/>
  </si>
  <si>
    <t>マッチングに失敗しました。しばらく待ってもう一度試してください。</t>
    <rPh sb="6" eb="8">
      <t>シッパイ</t>
    </rPh>
    <rPh sb="17" eb="18">
      <t>マ</t>
    </rPh>
    <rPh sb="22" eb="24">
      <t>イチド</t>
    </rPh>
    <rPh sb="24" eb="25">
      <t>タメ</t>
    </rPh>
    <phoneticPr fontId="11"/>
  </si>
  <si>
    <t>木</t>
    <rPh sb="0" eb="1">
      <t>キ</t>
    </rPh>
    <phoneticPr fontId="11"/>
  </si>
  <si>
    <t>勝利</t>
    <rPh sb="0" eb="2">
      <t>ショウリ</t>
    </rPh>
    <phoneticPr fontId="11"/>
  </si>
  <si>
    <t>使用</t>
    <rPh sb="0" eb="2">
      <t>シヨウ</t>
    </rPh>
    <phoneticPr fontId="11"/>
  </si>
  <si>
    <t>獲得</t>
    <rPh sb="0" eb="2">
      <t>カクトク</t>
    </rPh>
    <phoneticPr fontId="11"/>
  </si>
  <si>
    <t>リーグ</t>
    <phoneticPr fontId="11"/>
  </si>
  <si>
    <t>次のリーグに進出</t>
    <rPh sb="0" eb="1">
      <t>ツギ</t>
    </rPh>
    <rPh sb="6" eb="8">
      <t>シンシュツ</t>
    </rPh>
    <phoneticPr fontId="11"/>
  </si>
  <si>
    <t>タイム</t>
    <phoneticPr fontId="11"/>
  </si>
  <si>
    <t>宝石パッケージ</t>
    <rPh sb="0" eb="2">
      <t>ホウセキ</t>
    </rPh>
    <phoneticPr fontId="11"/>
  </si>
  <si>
    <t>サーバーに接続できません。しばらくオフラインで楽しんでいただき、もう一度試してください。</t>
    <rPh sb="5" eb="7">
      <t>セツゾク</t>
    </rPh>
    <rPh sb="23" eb="24">
      <t>タノ</t>
    </rPh>
    <rPh sb="34" eb="36">
      <t>イチド</t>
    </rPh>
    <rPh sb="36" eb="37">
      <t>タメ</t>
    </rPh>
    <phoneticPr fontId="11"/>
  </si>
  <si>
    <t>アリーナバトルで実力を試してください！</t>
    <rPh sb="8" eb="10">
      <t>ジツリョク</t>
    </rPh>
    <rPh sb="11" eb="12">
      <t>タメ</t>
    </rPh>
    <phoneticPr fontId="11"/>
  </si>
  <si>
    <t>ドラッグで選択</t>
    <rPh sb="5" eb="7">
      <t>センタク</t>
    </rPh>
    <phoneticPr fontId="11"/>
  </si>
  <si>
    <t>ニックネーム</t>
    <phoneticPr fontId="11"/>
  </si>
  <si>
    <t>ニックネームを入力してください。</t>
    <rPh sb="7" eb="9">
      <t>ニュウリョク</t>
    </rPh>
    <phoneticPr fontId="11"/>
  </si>
  <si>
    <t>すでに登録されています。</t>
    <rPh sb="3" eb="5">
      <t>トウロク</t>
    </rPh>
    <phoneticPr fontId="11"/>
  </si>
  <si>
    <t>ニックネームが保存されました。</t>
    <rPh sb="7" eb="9">
      <t>ホゾン</t>
    </rPh>
    <phoneticPr fontId="11"/>
  </si>
  <si>
    <t>既存ユーザー</t>
    <rPh sb="0" eb="2">
      <t>キゾン</t>
    </rPh>
    <phoneticPr fontId="11"/>
  </si>
  <si>
    <t>新規ユーザー</t>
    <rPh sb="0" eb="2">
      <t>シンキ</t>
    </rPh>
    <phoneticPr fontId="11"/>
  </si>
  <si>
    <t>ユーザーID</t>
    <phoneticPr fontId="11"/>
  </si>
  <si>
    <t>新規ユーザーですか？</t>
    <rPh sb="0" eb="2">
      <t>シンキ</t>
    </rPh>
    <phoneticPr fontId="11"/>
  </si>
  <si>
    <t>変更</t>
    <rPh sb="0" eb="2">
      <t>ヘンコウ</t>
    </rPh>
    <phoneticPr fontId="11"/>
  </si>
  <si>
    <t>アカウント切り替え</t>
    <rPh sb="5" eb="6">
      <t>キ</t>
    </rPh>
    <rPh sb="7" eb="8">
      <t>カ</t>
    </rPh>
    <phoneticPr fontId="11"/>
  </si>
  <si>
    <t>ニックネームを変更</t>
    <rPh sb="7" eb="9">
      <t>ヘンコウ</t>
    </rPh>
    <phoneticPr fontId="11"/>
  </si>
  <si>
    <t>雇用</t>
    <rPh sb="0" eb="2">
      <t>コヨウ</t>
    </rPh>
    <phoneticPr fontId="11"/>
  </si>
  <si>
    <t>解雇</t>
    <rPh sb="0" eb="2">
      <t>カイコ</t>
    </rPh>
    <phoneticPr fontId="11"/>
  </si>
  <si>
    <t>デッキから削除</t>
    <rPh sb="5" eb="7">
      <t>サクジョ</t>
    </rPh>
    <phoneticPr fontId="11"/>
  </si>
  <si>
    <t>デッキに移動</t>
    <rPh sb="4" eb="6">
      <t>イドウ</t>
    </rPh>
    <phoneticPr fontId="11"/>
  </si>
  <si>
    <t>パスワード</t>
    <phoneticPr fontId="11"/>
  </si>
  <si>
    <t>パスワード確認</t>
    <rPh sb="5" eb="7">
      <t>カクニン</t>
    </rPh>
    <phoneticPr fontId="11"/>
  </si>
  <si>
    <t>アップグレード時間</t>
    <rPh sb="7" eb="9">
      <t>ジカン</t>
    </rPh>
    <phoneticPr fontId="11"/>
  </si>
  <si>
    <t>倒した敵</t>
    <rPh sb="0" eb="1">
      <t>タオ</t>
    </rPh>
    <rPh sb="3" eb="4">
      <t>テキ</t>
    </rPh>
    <phoneticPr fontId="11"/>
  </si>
  <si>
    <t>ランク</t>
    <phoneticPr fontId="11"/>
  </si>
  <si>
    <t>購入完了</t>
    <rPh sb="0" eb="2">
      <t>コウニュウ</t>
    </rPh>
    <rPh sb="2" eb="4">
      <t>カンリョウ</t>
    </rPh>
    <phoneticPr fontId="11"/>
  </si>
  <si>
    <t>アリーナ</t>
    <phoneticPr fontId="11"/>
  </si>
  <si>
    <t>上位</t>
    <rPh sb="0" eb="2">
      <t>ジョウイ</t>
    </rPh>
    <phoneticPr fontId="11"/>
  </si>
  <si>
    <t>チケットが配布されました。</t>
    <rPh sb="5" eb="7">
      <t>ハイフ</t>
    </rPh>
    <phoneticPr fontId="11"/>
  </si>
  <si>
    <t>バトル</t>
    <phoneticPr fontId="11"/>
  </si>
  <si>
    <t>食べ物を提供</t>
    <rPh sb="0" eb="1">
      <t>タ</t>
    </rPh>
    <rPh sb="2" eb="3">
      <t>モノ</t>
    </rPh>
    <rPh sb="4" eb="6">
      <t>テイキョウ</t>
    </rPh>
    <phoneticPr fontId="11"/>
  </si>
  <si>
    <t>初心者</t>
    <rPh sb="0" eb="3">
      <t>ショシンシャ</t>
    </rPh>
    <phoneticPr fontId="11"/>
  </si>
  <si>
    <t>ブロンズ</t>
    <phoneticPr fontId="11"/>
  </si>
  <si>
    <t>シルバー</t>
    <phoneticPr fontId="11"/>
  </si>
  <si>
    <t>プラチナム</t>
    <phoneticPr fontId="11"/>
  </si>
  <si>
    <t>ダイアモンド</t>
    <phoneticPr fontId="11"/>
  </si>
  <si>
    <t>マスター</t>
    <phoneticPr fontId="11"/>
  </si>
  <si>
    <t>グランドマスター</t>
    <phoneticPr fontId="11"/>
  </si>
  <si>
    <t>レジェンド</t>
    <phoneticPr fontId="11"/>
  </si>
  <si>
    <t>おめでとう！</t>
    <phoneticPr fontId="11"/>
  </si>
  <si>
    <t>チャプター</t>
    <phoneticPr fontId="11"/>
  </si>
  <si>
    <t>アリーナ結果</t>
    <rPh sb="4" eb="6">
      <t>ケッカ</t>
    </rPh>
    <phoneticPr fontId="11"/>
  </si>
  <si>
    <t>リワード</t>
    <phoneticPr fontId="11"/>
  </si>
  <si>
    <t>チケットが足りません。</t>
    <rPh sb="5" eb="6">
      <t>タ</t>
    </rPh>
    <phoneticPr fontId="11"/>
  </si>
  <si>
    <t>宝石が足りません。</t>
    <rPh sb="0" eb="2">
      <t>ホウセキ</t>
    </rPh>
    <rPh sb="3" eb="4">
      <t>タ</t>
    </rPh>
    <phoneticPr fontId="11"/>
  </si>
  <si>
    <t>サーバー接続に失敗しました。</t>
    <rPh sb="4" eb="6">
      <t>セツゾク</t>
    </rPh>
    <rPh sb="7" eb="9">
      <t>シッパイ</t>
    </rPh>
    <phoneticPr fontId="11"/>
  </si>
  <si>
    <t>PLAY</t>
    <phoneticPr fontId="11"/>
  </si>
  <si>
    <t>終了しますか？</t>
    <rPh sb="0" eb="2">
      <t>シュウリョウ</t>
    </rPh>
    <phoneticPr fontId="11"/>
  </si>
  <si>
    <t>OPTION</t>
    <phoneticPr fontId="11"/>
  </si>
  <si>
    <t>SAVE</t>
    <phoneticPr fontId="11"/>
  </si>
  <si>
    <t>LOAD</t>
    <phoneticPr fontId="11"/>
  </si>
  <si>
    <t>準備中</t>
    <rPh sb="0" eb="2">
      <t>ジュンビ</t>
    </rPh>
    <rPh sb="2" eb="3">
      <t>チュウ</t>
    </rPh>
    <phoneticPr fontId="11"/>
  </si>
  <si>
    <t>復元完了</t>
    <rPh sb="0" eb="2">
      <t>フクゲン</t>
    </rPh>
    <rPh sb="2" eb="4">
      <t>カンリョウ</t>
    </rPh>
    <phoneticPr fontId="11"/>
  </si>
  <si>
    <t>復元</t>
    <rPh sb="0" eb="2">
      <t>フクゲン</t>
    </rPh>
    <phoneticPr fontId="11"/>
  </si>
  <si>
    <t>購入</t>
    <rPh sb="0" eb="2">
      <t>コウニュウ</t>
    </rPh>
    <phoneticPr fontId="11"/>
  </si>
  <si>
    <t>選択</t>
    <rPh sb="0" eb="2">
      <t>センタク</t>
    </rPh>
    <phoneticPr fontId="11"/>
  </si>
  <si>
    <t>効果音 ON</t>
    <rPh sb="0" eb="3">
      <t>コウカオン</t>
    </rPh>
    <phoneticPr fontId="11"/>
  </si>
  <si>
    <t>効果音 OFF</t>
    <phoneticPr fontId="11"/>
  </si>
  <si>
    <t>音楽 ON</t>
    <rPh sb="0" eb="2">
      <t>オンガク</t>
    </rPh>
    <phoneticPr fontId="11"/>
  </si>
  <si>
    <t>音楽 OFF</t>
    <rPh sb="0" eb="2">
      <t>オンガク</t>
    </rPh>
    <phoneticPr fontId="11"/>
  </si>
  <si>
    <t>全兵士を選択</t>
    <rPh sb="0" eb="1">
      <t>ゼン</t>
    </rPh>
    <rPh sb="1" eb="3">
      <t>ヘイシ</t>
    </rPh>
    <rPh sb="4" eb="6">
      <t>センタク</t>
    </rPh>
    <phoneticPr fontId="11"/>
  </si>
  <si>
    <t>画面内の全兵士を選択</t>
    <rPh sb="0" eb="2">
      <t>ガメン</t>
    </rPh>
    <rPh sb="2" eb="3">
      <t>ナイ</t>
    </rPh>
    <rPh sb="4" eb="5">
      <t>ゼン</t>
    </rPh>
    <rPh sb="5" eb="7">
      <t>ヘイシ</t>
    </rPh>
    <rPh sb="8" eb="10">
      <t>センタク</t>
    </rPh>
    <phoneticPr fontId="11"/>
  </si>
  <si>
    <t>サポート兵力を選択</t>
    <rPh sb="4" eb="6">
      <t>ヘイリョク</t>
    </rPh>
    <rPh sb="7" eb="9">
      <t>センタク</t>
    </rPh>
    <phoneticPr fontId="11"/>
  </si>
  <si>
    <t>保存データがあります。上書きしますか？</t>
    <rPh sb="0" eb="2">
      <t>ホゾン</t>
    </rPh>
    <rPh sb="11" eb="13">
      <t>ウワガ</t>
    </rPh>
    <phoneticPr fontId="11"/>
  </si>
  <si>
    <t>保存データをプレイしますか？</t>
    <rPh sb="0" eb="2">
      <t>ホゾン</t>
    </rPh>
    <phoneticPr fontId="11"/>
  </si>
  <si>
    <r>
      <rPr>
        <sz val="10"/>
        <color rgb="FF000000"/>
        <rFont val="Malgun Gothic"/>
        <family val="2"/>
        <charset val="129"/>
      </rPr>
      <t>남은</t>
    </r>
    <r>
      <rPr>
        <sz val="10"/>
        <color rgb="FF000000"/>
        <rFont val="Arial"/>
        <family val="2"/>
      </rPr>
      <t xml:space="preserve"> </t>
    </r>
    <r>
      <rPr>
        <sz val="10"/>
        <color rgb="FF000000"/>
        <rFont val="Malgun Gothic"/>
        <family val="2"/>
        <charset val="129"/>
      </rPr>
      <t>금</t>
    </r>
    <r>
      <rPr>
        <sz val="10"/>
        <color rgb="FF000000"/>
        <rFont val="Arial"/>
        <family val="2"/>
      </rPr>
      <t>: %d</t>
    </r>
    <phoneticPr fontId="11"/>
  </si>
  <si>
    <t>残りのゴールド：%d</t>
    <rPh sb="0" eb="1">
      <t>ノコ</t>
    </rPh>
    <phoneticPr fontId="11"/>
  </si>
  <si>
    <t>次</t>
    <rPh sb="0" eb="1">
      <t>ツギ</t>
    </rPh>
    <phoneticPr fontId="11"/>
  </si>
  <si>
    <t>このステージでは使えません。</t>
    <rPh sb="8" eb="9">
      <t>ツカ</t>
    </rPh>
    <phoneticPr fontId="11"/>
  </si>
  <si>
    <t>ゴールドが不足しています。</t>
    <rPh sb="5" eb="7">
      <t>フソク</t>
    </rPh>
    <phoneticPr fontId="11"/>
  </si>
  <si>
    <t>木材が不足しています。</t>
    <rPh sb="0" eb="2">
      <t>モクザイ</t>
    </rPh>
    <rPh sb="3" eb="5">
      <t>フソク</t>
    </rPh>
    <phoneticPr fontId="11"/>
  </si>
  <si>
    <t>食料が不足しています。</t>
    <rPh sb="0" eb="2">
      <t>ショクリョウ</t>
    </rPh>
    <rPh sb="3" eb="5">
      <t>フソク</t>
    </rPh>
    <phoneticPr fontId="11"/>
  </si>
  <si>
    <t>Human</t>
    <phoneticPr fontId="11"/>
  </si>
  <si>
    <t>ヒューマン</t>
    <phoneticPr fontId="11"/>
  </si>
  <si>
    <t>オーク</t>
    <phoneticPr fontId="11"/>
  </si>
  <si>
    <t>ゾンビ</t>
    <phoneticPr fontId="11"/>
  </si>
  <si>
    <t>人狼</t>
    <rPh sb="0" eb="2">
      <t>ジンロウ</t>
    </rPh>
    <phoneticPr fontId="11"/>
  </si>
  <si>
    <t>城</t>
    <rPh sb="0" eb="1">
      <t>シロ</t>
    </rPh>
    <phoneticPr fontId="11"/>
  </si>
  <si>
    <t>バーベキュー大会</t>
    <rPh sb="6" eb="8">
      <t>タイカイ</t>
    </rPh>
    <phoneticPr fontId="11"/>
  </si>
  <si>
    <t>祭壇</t>
    <rPh sb="0" eb="2">
      <t>サイダン</t>
    </rPh>
    <phoneticPr fontId="11"/>
  </si>
  <si>
    <t>農場</t>
    <rPh sb="0" eb="2">
      <t>ノウジョウ</t>
    </rPh>
    <phoneticPr fontId="11"/>
  </si>
  <si>
    <t>兵舎</t>
    <phoneticPr fontId="11"/>
  </si>
  <si>
    <t>Lumber mill</t>
    <phoneticPr fontId="11"/>
  </si>
  <si>
    <t>製材所</t>
    <phoneticPr fontId="11"/>
  </si>
  <si>
    <t>先にオーク工場を建設しましょう。</t>
    <rPh sb="0" eb="1">
      <t>サキ</t>
    </rPh>
    <rPh sb="5" eb="7">
      <t>コウジョウ</t>
    </rPh>
    <rPh sb="8" eb="10">
      <t>ケンセツ</t>
    </rPh>
    <phoneticPr fontId="11"/>
  </si>
  <si>
    <t>先に兵舎を建設しましょう。</t>
    <rPh sb="0" eb="1">
      <t>サキ</t>
    </rPh>
    <rPh sb="2" eb="4">
      <t>ヘイシャ</t>
    </rPh>
    <rPh sb="5" eb="7">
      <t>ケンセツ</t>
    </rPh>
    <phoneticPr fontId="11"/>
  </si>
  <si>
    <t>先に製材所を建設しましょう。</t>
    <rPh sb="0" eb="1">
      <t>サキ</t>
    </rPh>
    <rPh sb="2" eb="4">
      <t>セイザイ</t>
    </rPh>
    <rPh sb="4" eb="5">
      <t>ジョ</t>
    </rPh>
    <rPh sb="6" eb="8">
      <t>ケンセツ</t>
    </rPh>
    <phoneticPr fontId="11"/>
  </si>
  <si>
    <t>watcher tower</t>
    <phoneticPr fontId="11"/>
  </si>
  <si>
    <t>監視塔</t>
    <phoneticPr fontId="11"/>
  </si>
  <si>
    <t>地下バンカー</t>
    <rPh sb="0" eb="2">
      <t>チカ</t>
    </rPh>
    <phoneticPr fontId="11"/>
  </si>
  <si>
    <t>Flare</t>
    <phoneticPr fontId="11"/>
  </si>
  <si>
    <t>信号弾</t>
    <rPh sb="0" eb="2">
      <t>シンゴウ</t>
    </rPh>
    <rPh sb="2" eb="3">
      <t>ダン</t>
    </rPh>
    <phoneticPr fontId="11"/>
  </si>
  <si>
    <t>工場</t>
    <rPh sb="0" eb="2">
      <t>コウジョウ</t>
    </rPh>
    <phoneticPr fontId="11"/>
  </si>
  <si>
    <t>空港</t>
    <rPh sb="0" eb="2">
      <t>クウコウ</t>
    </rPh>
    <phoneticPr fontId="11"/>
  </si>
  <si>
    <t>鉱山</t>
    <rPh sb="0" eb="2">
      <t>コウザン</t>
    </rPh>
    <phoneticPr fontId="11"/>
  </si>
  <si>
    <t>オーク本部</t>
    <rPh sb="3" eb="5">
      <t>ホンブ</t>
    </rPh>
    <phoneticPr fontId="11"/>
  </si>
  <si>
    <t>オーク工場</t>
    <rPh sb="3" eb="5">
      <t>コウジョウ</t>
    </rPh>
    <phoneticPr fontId="11"/>
  </si>
  <si>
    <t>オークバンカー</t>
    <phoneticPr fontId="11"/>
  </si>
  <si>
    <t>トロールハウス</t>
    <phoneticPr fontId="11"/>
  </si>
  <si>
    <t>ワーカー</t>
    <phoneticPr fontId="11"/>
  </si>
  <si>
    <t>全てのワーカーが作業しています。宝石を使って今すぐ作業を完了しますか？</t>
    <rPh sb="0" eb="1">
      <t>スベ</t>
    </rPh>
    <rPh sb="8" eb="10">
      <t>サギョウ</t>
    </rPh>
    <rPh sb="16" eb="18">
      <t>ホウセキ</t>
    </rPh>
    <rPh sb="19" eb="20">
      <t>ツカ</t>
    </rPh>
    <rPh sb="22" eb="23">
      <t>イマ</t>
    </rPh>
    <rPh sb="25" eb="27">
      <t>サギョウ</t>
    </rPh>
    <rPh sb="28" eb="30">
      <t>カンリョウ</t>
    </rPh>
    <phoneticPr fontId="11"/>
  </si>
  <si>
    <t>剣士</t>
    <rPh sb="0" eb="2">
      <t>ケンシ</t>
    </rPh>
    <phoneticPr fontId="11"/>
  </si>
  <si>
    <t>射手</t>
    <rPh sb="0" eb="2">
      <t>イテ</t>
    </rPh>
    <phoneticPr fontId="11"/>
  </si>
  <si>
    <t>魔術師は木を破壊することができます。</t>
    <rPh sb="0" eb="3">
      <t>マジュツシ</t>
    </rPh>
    <rPh sb="4" eb="5">
      <t>キ</t>
    </rPh>
    <rPh sb="6" eb="8">
      <t>ハカイ</t>
    </rPh>
    <phoneticPr fontId="11"/>
  </si>
  <si>
    <t>魔術師</t>
    <rPh sb="0" eb="3">
      <t>マジュツシ</t>
    </rPh>
    <phoneticPr fontId="11"/>
  </si>
  <si>
    <t>ドローン兵</t>
    <rPh sb="4" eb="5">
      <t>ヘイ</t>
    </rPh>
    <phoneticPr fontId="11"/>
  </si>
  <si>
    <t>投石器</t>
  </si>
  <si>
    <t>オークファイター</t>
    <phoneticPr fontId="11"/>
  </si>
  <si>
    <t>Orc Spear man</t>
    <phoneticPr fontId="11"/>
  </si>
  <si>
    <t>オーク槍兵</t>
    <rPh sb="3" eb="4">
      <t>ヤリ</t>
    </rPh>
    <rPh sb="4" eb="5">
      <t>ヘイ</t>
    </rPh>
    <phoneticPr fontId="11"/>
  </si>
  <si>
    <t>トロール</t>
    <phoneticPr fontId="11"/>
  </si>
  <si>
    <t>ゴブリン</t>
    <phoneticPr fontId="11"/>
  </si>
  <si>
    <t>ゴブリンワーカー</t>
    <phoneticPr fontId="11"/>
  </si>
  <si>
    <t>ゴブリン爆弾兵</t>
    <phoneticPr fontId="11"/>
  </si>
  <si>
    <t>resume</t>
    <phoneticPr fontId="11"/>
  </si>
  <si>
    <t>再開する</t>
    <rPh sb="0" eb="2">
      <t>サイカイ</t>
    </rPh>
    <phoneticPr fontId="11"/>
  </si>
  <si>
    <t>旅のはじまり</t>
    <rPh sb="0" eb="1">
      <t>タビ</t>
    </rPh>
    <phoneticPr fontId="11"/>
  </si>
  <si>
    <t>オークの襲撃</t>
    <rPh sb="4" eb="6">
      <t>シュウゲキ</t>
    </rPh>
    <phoneticPr fontId="11"/>
  </si>
  <si>
    <t>カウンターアタック</t>
    <phoneticPr fontId="11"/>
  </si>
  <si>
    <t>ゾンビの登場</t>
    <rPh sb="4" eb="6">
      <t>トウジョウ</t>
    </rPh>
    <phoneticPr fontId="11"/>
  </si>
  <si>
    <t>オークを救出せよ</t>
    <rPh sb="4" eb="6">
      <t>キュウシュツ</t>
    </rPh>
    <phoneticPr fontId="11"/>
  </si>
  <si>
    <t>同盟</t>
    <rPh sb="0" eb="2">
      <t>ドウメイ</t>
    </rPh>
    <phoneticPr fontId="11"/>
  </si>
  <si>
    <t>ゾンビの王様</t>
    <rPh sb="4" eb="6">
      <t>オウサマ</t>
    </rPh>
    <phoneticPr fontId="11"/>
  </si>
  <si>
    <t>ゾンビ軍の襲撃</t>
    <rPh sb="3" eb="4">
      <t>グン</t>
    </rPh>
    <rPh sb="5" eb="7">
      <t>シュウゲキ</t>
    </rPh>
    <phoneticPr fontId="11"/>
  </si>
  <si>
    <t>反乱軍の登場</t>
    <rPh sb="0" eb="2">
      <t>ハンラン</t>
    </rPh>
    <rPh sb="2" eb="3">
      <t>グン</t>
    </rPh>
    <rPh sb="4" eb="6">
      <t>トウジョウ</t>
    </rPh>
    <phoneticPr fontId="11"/>
  </si>
  <si>
    <t>裏切り者</t>
    <rPh sb="0" eb="2">
      <t>ウラギ</t>
    </rPh>
    <rPh sb="3" eb="4">
      <t>モノ</t>
    </rPh>
    <phoneticPr fontId="11"/>
  </si>
  <si>
    <t>Hive of Zombies</t>
    <phoneticPr fontId="11"/>
  </si>
  <si>
    <t>ゾンビの巣</t>
    <rPh sb="4" eb="5">
      <t>ス</t>
    </rPh>
    <phoneticPr fontId="11"/>
  </si>
  <si>
    <t>ゾンビ王の最期</t>
    <rPh sb="3" eb="4">
      <t>オウ</t>
    </rPh>
    <phoneticPr fontId="11"/>
  </si>
  <si>
    <t>第二次戦争の始まり</t>
    <rPh sb="0" eb="1">
      <t>ダイ</t>
    </rPh>
    <rPh sb="1" eb="3">
      <t>ニジ</t>
    </rPh>
    <rPh sb="3" eb="5">
      <t>センソウ</t>
    </rPh>
    <rPh sb="6" eb="7">
      <t>ハジ</t>
    </rPh>
    <phoneticPr fontId="11"/>
  </si>
  <si>
    <t>怪しいオーク</t>
    <rPh sb="0" eb="1">
      <t>アヤ</t>
    </rPh>
    <phoneticPr fontId="11"/>
  </si>
  <si>
    <t>おかしいヒューマン</t>
    <phoneticPr fontId="11"/>
  </si>
  <si>
    <t>馬鹿な男</t>
    <rPh sb="0" eb="2">
      <t>バカ</t>
    </rPh>
    <rPh sb="3" eb="4">
      <t>オトコ</t>
    </rPh>
    <phoneticPr fontId="11"/>
  </si>
  <si>
    <t>再び現れたゾンビ</t>
    <rPh sb="0" eb="1">
      <t>フタタ</t>
    </rPh>
    <rPh sb="2" eb="3">
      <t>アラワ</t>
    </rPh>
    <phoneticPr fontId="11"/>
  </si>
  <si>
    <t>もうひとつの反乱</t>
    <rPh sb="6" eb="8">
      <t>ハンラン</t>
    </rPh>
    <phoneticPr fontId="11"/>
  </si>
  <si>
    <t>危機</t>
    <rPh sb="0" eb="2">
      <t>キキ</t>
    </rPh>
    <phoneticPr fontId="11"/>
  </si>
  <si>
    <t>もうひとつの同盟</t>
    <rPh sb="6" eb="8">
      <t>ドウメイ</t>
    </rPh>
    <phoneticPr fontId="11"/>
  </si>
  <si>
    <t>再建</t>
    <rPh sb="0" eb="2">
      <t>サイケン</t>
    </rPh>
    <phoneticPr fontId="11"/>
  </si>
  <si>
    <t>スパイ</t>
    <phoneticPr fontId="11"/>
  </si>
  <si>
    <t>最前線</t>
    <rPh sb="0" eb="3">
      <t>サイゼンセン</t>
    </rPh>
    <phoneticPr fontId="11"/>
  </si>
  <si>
    <t>ニューマンの最期</t>
    <rPh sb="6" eb="8">
      <t>サイゴ</t>
    </rPh>
    <phoneticPr fontId="11"/>
  </si>
  <si>
    <t>ワーカーを選択してください。</t>
    <rPh sb="5" eb="7">
      <t>センタク</t>
    </rPh>
    <phoneticPr fontId="11"/>
  </si>
  <si>
    <t>画面をタッチして選択したワーカーを移動させましょう。</t>
    <rPh sb="0" eb="2">
      <t>ガメン</t>
    </rPh>
    <rPh sb="8" eb="10">
      <t>センタク</t>
    </rPh>
    <rPh sb="17" eb="19">
      <t>イドウ</t>
    </rPh>
    <phoneticPr fontId="11"/>
  </si>
  <si>
    <t>ワーカーを選択して、鉱山を選択してください。</t>
    <rPh sb="5" eb="7">
      <t>センタク</t>
    </rPh>
    <rPh sb="10" eb="12">
      <t>コウザン</t>
    </rPh>
    <rPh sb="13" eb="15">
      <t>センタク</t>
    </rPh>
    <phoneticPr fontId="11"/>
  </si>
  <si>
    <t>ワーカーを選択して、木を選択してください。</t>
    <rPh sb="5" eb="7">
      <t>センタク</t>
    </rPh>
    <rPh sb="10" eb="11">
      <t>キ</t>
    </rPh>
    <rPh sb="12" eb="14">
      <t>センタク</t>
    </rPh>
    <phoneticPr fontId="11"/>
  </si>
  <si>
    <t>ワーカーを選択して、建設メニューを選択してください。</t>
    <rPh sb="5" eb="7">
      <t>センタク</t>
    </rPh>
    <rPh sb="10" eb="12">
      <t>ケンセツ</t>
    </rPh>
    <rPh sb="17" eb="19">
      <t>センタク</t>
    </rPh>
    <phoneticPr fontId="11"/>
  </si>
  <si>
    <t>農場を建てましょう。</t>
    <rPh sb="0" eb="2">
      <t>ノウジョウ</t>
    </rPh>
    <rPh sb="3" eb="4">
      <t>タ</t>
    </rPh>
    <phoneticPr fontId="11"/>
  </si>
  <si>
    <r>
      <rPr>
        <sz val="10"/>
        <color rgb="FF000000"/>
        <rFont val="Malgun Gothic"/>
        <family val="2"/>
        <charset val="129"/>
      </rPr>
      <t>모든</t>
    </r>
    <r>
      <rPr>
        <sz val="10"/>
        <color rgb="FF000000"/>
        <rFont val="Arial"/>
        <family val="2"/>
      </rPr>
      <t xml:space="preserve"> </t>
    </r>
    <r>
      <rPr>
        <sz val="10"/>
        <color rgb="FF000000"/>
        <rFont val="Malgun Gothic"/>
        <family val="2"/>
        <charset val="129"/>
      </rPr>
      <t>병영이</t>
    </r>
    <r>
      <rPr>
        <sz val="10"/>
        <color rgb="FF000000"/>
        <rFont val="Arial"/>
        <family val="2"/>
      </rPr>
      <t xml:space="preserve"> </t>
    </r>
    <r>
      <rPr>
        <sz val="10"/>
        <color rgb="FF000000"/>
        <rFont val="Malgun Gothic"/>
        <family val="2"/>
        <charset val="129"/>
      </rPr>
      <t>사용중입니다</t>
    </r>
    <r>
      <rPr>
        <sz val="10"/>
        <color rgb="FF000000"/>
        <rFont val="Arial"/>
        <family val="2"/>
      </rPr>
      <t xml:space="preserve">. </t>
    </r>
    <r>
      <rPr>
        <sz val="10"/>
        <color rgb="FF000000"/>
        <rFont val="Malgun Gothic"/>
        <family val="2"/>
        <charset val="129"/>
      </rPr>
      <t>보석을</t>
    </r>
    <r>
      <rPr>
        <sz val="10"/>
        <color rgb="FF000000"/>
        <rFont val="Arial"/>
        <family val="2"/>
      </rPr>
      <t xml:space="preserve"> </t>
    </r>
    <r>
      <rPr>
        <sz val="10"/>
        <color rgb="FF000000"/>
        <rFont val="Malgun Gothic"/>
        <family val="2"/>
        <charset val="129"/>
      </rPr>
      <t>사용해</t>
    </r>
    <r>
      <rPr>
        <sz val="10"/>
        <color rgb="FF000000"/>
        <rFont val="Arial"/>
        <family val="2"/>
      </rPr>
      <t xml:space="preserve"> </t>
    </r>
    <r>
      <rPr>
        <sz val="10"/>
        <color rgb="FF000000"/>
        <rFont val="Malgun Gothic"/>
        <family val="2"/>
        <charset val="129"/>
      </rPr>
      <t>진행중인</t>
    </r>
    <r>
      <rPr>
        <sz val="10"/>
        <color rgb="FF000000"/>
        <rFont val="Arial"/>
        <family val="2"/>
      </rPr>
      <t xml:space="preserve"> </t>
    </r>
    <r>
      <rPr>
        <sz val="10"/>
        <color rgb="FF000000"/>
        <rFont val="Malgun Gothic"/>
        <family val="2"/>
        <charset val="129"/>
      </rPr>
      <t>작업을</t>
    </r>
    <r>
      <rPr>
        <sz val="10"/>
        <color rgb="FF000000"/>
        <rFont val="Arial"/>
        <family val="2"/>
      </rPr>
      <t xml:space="preserve"> </t>
    </r>
    <r>
      <rPr>
        <sz val="10"/>
        <color rgb="FF000000"/>
        <rFont val="Malgun Gothic"/>
        <family val="2"/>
        <charset val="129"/>
      </rPr>
      <t>완료하시겠습니까</t>
    </r>
    <r>
      <rPr>
        <sz val="10"/>
        <color rgb="FF000000"/>
        <rFont val="Arial"/>
        <family val="2"/>
      </rPr>
      <t>?</t>
    </r>
    <phoneticPr fontId="11"/>
  </si>
  <si>
    <t>全ての兵舎が使われています。宝石を使って今すぐ作業を完了しますか？</t>
    <rPh sb="0" eb="1">
      <t>スベ</t>
    </rPh>
    <rPh sb="6" eb="7">
      <t>ツカ</t>
    </rPh>
    <rPh sb="14" eb="16">
      <t>ホウセキ</t>
    </rPh>
    <rPh sb="17" eb="18">
      <t>ツカ</t>
    </rPh>
    <rPh sb="20" eb="21">
      <t>イマ</t>
    </rPh>
    <rPh sb="23" eb="25">
      <t>サギョウ</t>
    </rPh>
    <rPh sb="26" eb="28">
      <t>カンリョウ</t>
    </rPh>
    <phoneticPr fontId="11"/>
  </si>
  <si>
    <t>兵舎を建てましょう。</t>
    <rPh sb="3" eb="4">
      <t>タ</t>
    </rPh>
    <phoneticPr fontId="11"/>
  </si>
  <si>
    <t>剣士を生産しましょう。</t>
    <rPh sb="0" eb="2">
      <t>ケンシ</t>
    </rPh>
    <rPh sb="3" eb="5">
      <t>セイサン</t>
    </rPh>
    <phoneticPr fontId="11"/>
  </si>
  <si>
    <t>指２本で画面をスワイプして視野を移動しましょう。</t>
    <rPh sb="0" eb="1">
      <t>ユビ</t>
    </rPh>
    <rPh sb="2" eb="3">
      <t>ホン</t>
    </rPh>
    <rPh sb="4" eb="6">
      <t>ガメン</t>
    </rPh>
    <rPh sb="13" eb="15">
      <t>シヤ</t>
    </rPh>
    <rPh sb="16" eb="18">
      <t>イドウ</t>
    </rPh>
    <phoneticPr fontId="11"/>
  </si>
  <si>
    <t>指１本で画面をスワイプし、複数のユニットを選択してください。</t>
    <rPh sb="0" eb="1">
      <t>ユビ</t>
    </rPh>
    <rPh sb="2" eb="3">
      <t>ポン</t>
    </rPh>
    <rPh sb="4" eb="6">
      <t>ガメン</t>
    </rPh>
    <rPh sb="13" eb="15">
      <t>フクスウ</t>
    </rPh>
    <rPh sb="21" eb="23">
      <t>センタク</t>
    </rPh>
    <phoneticPr fontId="11"/>
  </si>
  <si>
    <t>ユニットを選択したまま、画面を２回タップするとユニットが移動し、攻撃可能な敵に遭遇すると自動で攻撃します。</t>
    <rPh sb="5" eb="7">
      <t>センタク</t>
    </rPh>
    <rPh sb="12" eb="14">
      <t>ガメン</t>
    </rPh>
    <rPh sb="16" eb="17">
      <t>カイ</t>
    </rPh>
    <rPh sb="28" eb="30">
      <t>イドウ</t>
    </rPh>
    <rPh sb="32" eb="34">
      <t>コウゲキ</t>
    </rPh>
    <rPh sb="34" eb="36">
      <t>カノウ</t>
    </rPh>
    <rPh sb="37" eb="38">
      <t>テキ</t>
    </rPh>
    <rPh sb="39" eb="41">
      <t>ソウグウ</t>
    </rPh>
    <rPh sb="44" eb="46">
      <t>ジドウ</t>
    </rPh>
    <rPh sb="47" eb="49">
      <t>コウゲキ</t>
    </rPh>
    <phoneticPr fontId="11"/>
  </si>
  <si>
    <t>農場を建設せよ</t>
    <rPh sb="0" eb="2">
      <t>ノウジョウ</t>
    </rPh>
    <rPh sb="3" eb="5">
      <t>ケンセツ</t>
    </rPh>
    <phoneticPr fontId="11"/>
  </si>
  <si>
    <t>兵舎を建設せよ</t>
    <rPh sb="0" eb="2">
      <t>ヘイシャ</t>
    </rPh>
    <rPh sb="3" eb="5">
      <t>ケンセツ</t>
    </rPh>
    <phoneticPr fontId="11"/>
  </si>
  <si>
    <t>剣士を生産せよ</t>
    <rPh sb="0" eb="2">
      <t>ケンシ</t>
    </rPh>
    <rPh sb="3" eb="5">
      <t>セイサン</t>
    </rPh>
    <phoneticPr fontId="11"/>
  </si>
  <si>
    <t>敵の全滅</t>
    <rPh sb="0" eb="1">
      <t>テキ</t>
    </rPh>
    <rPh sb="2" eb="4">
      <t>ゼンメツ</t>
    </rPh>
    <phoneticPr fontId="11"/>
  </si>
  <si>
    <r>
      <rPr>
        <sz val="10"/>
        <color rgb="FF000000"/>
        <rFont val="Malgun Gothic"/>
        <family val="2"/>
        <charset val="129"/>
      </rPr>
      <t>생산된</t>
    </r>
    <r>
      <rPr>
        <sz val="10"/>
        <color rgb="FF000000"/>
        <rFont val="Arial"/>
        <family val="2"/>
      </rPr>
      <t xml:space="preserve"> </t>
    </r>
    <r>
      <rPr>
        <sz val="10"/>
        <color rgb="FF000000"/>
        <rFont val="Malgun Gothic"/>
        <family val="2"/>
        <charset val="129"/>
      </rPr>
      <t>유닛</t>
    </r>
    <phoneticPr fontId="11"/>
  </si>
  <si>
    <r>
      <t>%d</t>
    </r>
    <r>
      <rPr>
        <sz val="10"/>
        <color rgb="FF000000"/>
        <rFont val="Malgun Gothic"/>
        <family val="2"/>
        <charset val="129"/>
      </rPr>
      <t>분</t>
    </r>
    <r>
      <rPr>
        <sz val="10"/>
        <color rgb="FF000000"/>
        <rFont val="Helvetica"/>
        <family val="2"/>
      </rPr>
      <t xml:space="preserve"> </t>
    </r>
    <r>
      <rPr>
        <sz val="10"/>
        <color rgb="FF000000"/>
        <rFont val="Malgun Gothic"/>
        <family val="2"/>
        <charset val="129"/>
      </rPr>
      <t>동안</t>
    </r>
    <r>
      <rPr>
        <sz val="10"/>
        <color rgb="FF000000"/>
        <rFont val="Helvetica"/>
        <family val="2"/>
      </rPr>
      <t xml:space="preserve"> </t>
    </r>
    <r>
      <rPr>
        <sz val="10"/>
        <color rgb="FF000000"/>
        <rFont val="Malgun Gothic"/>
        <family val="2"/>
        <charset val="129"/>
      </rPr>
      <t>살아남기</t>
    </r>
    <phoneticPr fontId="11"/>
  </si>
  <si>
    <t>%d分間、生き残る</t>
    <rPh sb="2" eb="3">
      <t>フン</t>
    </rPh>
    <rPh sb="3" eb="4">
      <t>アイダ</t>
    </rPh>
    <rPh sb="5" eb="6">
      <t>イ</t>
    </rPh>
    <rPh sb="7" eb="8">
      <t>ノコ</t>
    </rPh>
    <phoneticPr fontId="11"/>
  </si>
  <si>
    <t>同盟を守れ</t>
    <rPh sb="0" eb="2">
      <t>ドウメイ</t>
    </rPh>
    <rPh sb="3" eb="4">
      <t>マモ</t>
    </rPh>
    <phoneticPr fontId="11"/>
  </si>
  <si>
    <t>鉱山でゴールドを採掘することができます。オートでゴールドを生産しているので、鉱山を訪ねてゴールドを獲得しましょう。</t>
    <rPh sb="0" eb="2">
      <t>コウザン</t>
    </rPh>
    <rPh sb="8" eb="10">
      <t>サイクツ</t>
    </rPh>
    <rPh sb="29" eb="31">
      <t>セイサン</t>
    </rPh>
    <rPh sb="38" eb="40">
      <t>コウザン</t>
    </rPh>
    <rPh sb="41" eb="42">
      <t>タズ</t>
    </rPh>
    <rPh sb="49" eb="51">
      <t>カクトク</t>
    </rPh>
    <phoneticPr fontId="11"/>
  </si>
  <si>
    <t>You can collect lumber by cutting the trees. Build a lumber mill for more lumber.</t>
    <phoneticPr fontId="11"/>
  </si>
  <si>
    <t>木を切って木材を獲得することができます。そして木材工場を建設するとさらに多くの木材を獲得することができます。</t>
    <rPh sb="0" eb="1">
      <t>キ</t>
    </rPh>
    <rPh sb="2" eb="3">
      <t>キ</t>
    </rPh>
    <rPh sb="5" eb="7">
      <t>モクザイ</t>
    </rPh>
    <rPh sb="8" eb="10">
      <t>カクトク</t>
    </rPh>
    <rPh sb="23" eb="25">
      <t>モクザイ</t>
    </rPh>
    <rPh sb="25" eb="27">
      <t>コウジョウ</t>
    </rPh>
    <rPh sb="28" eb="30">
      <t>ケンセツ</t>
    </rPh>
    <rPh sb="36" eb="37">
      <t>オオ</t>
    </rPh>
    <rPh sb="39" eb="41">
      <t>モクザイ</t>
    </rPh>
    <rPh sb="42" eb="44">
      <t>カクトク</t>
    </rPh>
    <phoneticPr fontId="11"/>
  </si>
  <si>
    <t>十分な資源を持っているなら、兵士を雇用できる兵舎を構築することができます。</t>
    <rPh sb="0" eb="2">
      <t>ジュウブン</t>
    </rPh>
    <rPh sb="3" eb="5">
      <t>シゲン</t>
    </rPh>
    <rPh sb="6" eb="7">
      <t>モ</t>
    </rPh>
    <rPh sb="14" eb="16">
      <t>ヘイシ</t>
    </rPh>
    <rPh sb="17" eb="19">
      <t>コヨウ</t>
    </rPh>
    <rPh sb="25" eb="27">
      <t>コウチク</t>
    </rPh>
    <phoneticPr fontId="11"/>
  </si>
  <si>
    <t>兵舎で兵士を雇い、アップグレードしてください。</t>
    <phoneticPr fontId="11"/>
  </si>
  <si>
    <t>ショップを訪ねてください。作れるアイテムを確認することができます。</t>
    <rPh sb="5" eb="6">
      <t>タズ</t>
    </rPh>
    <rPh sb="13" eb="14">
      <t>ツク</t>
    </rPh>
    <rPh sb="21" eb="23">
      <t>カクニン</t>
    </rPh>
    <phoneticPr fontId="11"/>
  </si>
  <si>
    <t>できる限り建築してください。今後役に立ちます。</t>
    <rPh sb="3" eb="4">
      <t>カギ</t>
    </rPh>
    <rPh sb="5" eb="7">
      <t>ケンチク</t>
    </rPh>
    <rPh sb="14" eb="16">
      <t>コンゴ</t>
    </rPh>
    <rPh sb="16" eb="17">
      <t>ヤク</t>
    </rPh>
    <rPh sb="18" eb="19">
      <t>タ</t>
    </rPh>
    <phoneticPr fontId="11"/>
  </si>
  <si>
    <t>スワイプして建物を移動させることができます。しかし、木を移動させることはできません。</t>
    <rPh sb="6" eb="8">
      <t>タテモノ</t>
    </rPh>
    <rPh sb="9" eb="11">
      <t>イドウ</t>
    </rPh>
    <rPh sb="26" eb="27">
      <t>キ</t>
    </rPh>
    <rPh sb="28" eb="30">
      <t>イドウ</t>
    </rPh>
    <phoneticPr fontId="11"/>
  </si>
  <si>
    <t>他ユーザーから攻撃を受けることもあります。そして彼らは資源を盗むことができます。</t>
    <rPh sb="0" eb="1">
      <t>ホカ</t>
    </rPh>
    <rPh sb="7" eb="9">
      <t>コウゲキ</t>
    </rPh>
    <rPh sb="10" eb="11">
      <t>ウ</t>
    </rPh>
    <rPh sb="24" eb="25">
      <t>カレ</t>
    </rPh>
    <rPh sb="27" eb="29">
      <t>シゲン</t>
    </rPh>
    <rPh sb="30" eb="31">
      <t>ヌス</t>
    </rPh>
    <phoneticPr fontId="11"/>
  </si>
  <si>
    <t>シールドは、あなたの資産と資源を、他ユーザーの侵略から安全に守ってくれます。</t>
    <rPh sb="10" eb="12">
      <t>シサン</t>
    </rPh>
    <rPh sb="13" eb="15">
      <t>シゲン</t>
    </rPh>
    <rPh sb="17" eb="18">
      <t>ホカ</t>
    </rPh>
    <rPh sb="23" eb="25">
      <t>シンリャク</t>
    </rPh>
    <rPh sb="27" eb="29">
      <t>アンゼン</t>
    </rPh>
    <rPh sb="30" eb="31">
      <t>マモ</t>
    </rPh>
    <phoneticPr fontId="11"/>
  </si>
  <si>
    <t>多くの建物を建て、兵力を動員し、勝利を手に入れましょう！</t>
    <rPh sb="0" eb="1">
      <t>オオ</t>
    </rPh>
    <rPh sb="3" eb="5">
      <t>タテモノ</t>
    </rPh>
    <rPh sb="6" eb="7">
      <t>タ</t>
    </rPh>
    <rPh sb="9" eb="11">
      <t>ヘイリョク</t>
    </rPh>
    <rPh sb="12" eb="14">
      <t>ドウイン</t>
    </rPh>
    <rPh sb="16" eb="18">
      <t>ショウリ</t>
    </rPh>
    <rPh sb="19" eb="20">
      <t>テ</t>
    </rPh>
    <rPh sb="21" eb="22">
      <t>イ</t>
    </rPh>
    <phoneticPr fontId="11"/>
  </si>
  <si>
    <t>Khalan</t>
    <phoneticPr fontId="11"/>
  </si>
  <si>
    <t>カラン</t>
    <phoneticPr fontId="11"/>
  </si>
  <si>
    <t>カランは最後の戦闘でニューマンに勝利した。しかしずる賢いゴブリンたちには逃げられてしまう。彼らをこのまま逃がしておけばさらなる戦争に繋がると予感したカランは、ニューマンを捕まるため、一人旅に出る。</t>
    <rPh sb="4" eb="6">
      <t>サイゴ</t>
    </rPh>
    <rPh sb="7" eb="9">
      <t>セントウ</t>
    </rPh>
    <rPh sb="16" eb="18">
      <t>ショウリ</t>
    </rPh>
    <rPh sb="26" eb="27">
      <t>カシコ</t>
    </rPh>
    <rPh sb="36" eb="37">
      <t>ニ</t>
    </rPh>
    <rPh sb="45" eb="46">
      <t>カレ</t>
    </rPh>
    <rPh sb="52" eb="53">
      <t>ニ</t>
    </rPh>
    <rPh sb="63" eb="65">
      <t>センソウ</t>
    </rPh>
    <rPh sb="66" eb="67">
      <t>ツナ</t>
    </rPh>
    <rPh sb="70" eb="72">
      <t>ヨカン</t>
    </rPh>
    <rPh sb="85" eb="86">
      <t>ツカ</t>
    </rPh>
    <rPh sb="91" eb="93">
      <t>ヒトリ</t>
    </rPh>
    <rPh sb="93" eb="94">
      <t>タビ</t>
    </rPh>
    <rPh sb="95" eb="96">
      <t>デ</t>
    </rPh>
    <phoneticPr fontId="11"/>
  </si>
  <si>
    <t>Khalan defeated Newman in the last battle. However, it was not easy to catch the sneaky goblins. Khalan knew. If he does not catch him now, another war will soon take place. So he decided to catch Newman and left his way to catch him, alone.</t>
    <phoneticPr fontId="11"/>
  </si>
  <si>
    <r>
      <rPr>
        <sz val="10"/>
        <color rgb="FF000000"/>
        <rFont val="Malgun Gothic"/>
        <family val="2"/>
        <charset val="129"/>
      </rPr>
      <t>칼란은</t>
    </r>
    <r>
      <rPr>
        <sz val="10"/>
        <color rgb="FF000000"/>
        <rFont val="Arial"/>
        <family val="2"/>
      </rPr>
      <t xml:space="preserve"> </t>
    </r>
    <r>
      <rPr>
        <sz val="10"/>
        <color rgb="FF000000"/>
        <rFont val="Malgun Gothic"/>
        <family val="2"/>
        <charset val="129"/>
      </rPr>
      <t>마지막</t>
    </r>
    <r>
      <rPr>
        <sz val="10"/>
        <color rgb="FF000000"/>
        <rFont val="Arial"/>
        <family val="2"/>
      </rPr>
      <t xml:space="preserve"> </t>
    </r>
    <r>
      <rPr>
        <sz val="10"/>
        <color rgb="FF000000"/>
        <rFont val="Malgun Gothic"/>
        <family val="2"/>
        <charset val="129"/>
      </rPr>
      <t>전투에서</t>
    </r>
    <r>
      <rPr>
        <sz val="10"/>
        <color rgb="FF000000"/>
        <rFont val="Arial"/>
        <family val="2"/>
      </rPr>
      <t xml:space="preserve"> </t>
    </r>
    <r>
      <rPr>
        <sz val="10"/>
        <color rgb="FF000000"/>
        <rFont val="Malgun Gothic"/>
        <family val="2"/>
        <charset val="129"/>
      </rPr>
      <t>뉴먼를</t>
    </r>
    <r>
      <rPr>
        <sz val="10"/>
        <color rgb="FF000000"/>
        <rFont val="Arial"/>
        <family val="2"/>
      </rPr>
      <t xml:space="preserve"> </t>
    </r>
    <r>
      <rPr>
        <sz val="10"/>
        <color rgb="FF000000"/>
        <rFont val="Malgun Gothic"/>
        <family val="2"/>
        <charset val="129"/>
      </rPr>
      <t>물리쳤다</t>
    </r>
    <r>
      <rPr>
        <sz val="10"/>
        <color rgb="FF000000"/>
        <rFont val="Arial"/>
        <family val="2"/>
      </rPr>
      <t xml:space="preserve">. </t>
    </r>
    <r>
      <rPr>
        <sz val="10"/>
        <color rgb="FF000000"/>
        <rFont val="Malgun Gothic"/>
        <family val="2"/>
        <charset val="129"/>
      </rPr>
      <t>그러나</t>
    </r>
    <r>
      <rPr>
        <sz val="10"/>
        <color rgb="FF000000"/>
        <rFont val="Arial"/>
        <family val="2"/>
      </rPr>
      <t xml:space="preserve"> </t>
    </r>
    <r>
      <rPr>
        <sz val="10"/>
        <color rgb="FF000000"/>
        <rFont val="Malgun Gothic"/>
        <family val="2"/>
        <charset val="129"/>
      </rPr>
      <t>약삭빠른</t>
    </r>
    <r>
      <rPr>
        <sz val="10"/>
        <color rgb="FF000000"/>
        <rFont val="Arial"/>
        <family val="2"/>
      </rPr>
      <t xml:space="preserve"> </t>
    </r>
    <r>
      <rPr>
        <sz val="10"/>
        <color rgb="FF000000"/>
        <rFont val="Malgun Gothic"/>
        <family val="2"/>
        <charset val="129"/>
      </rPr>
      <t>고블린이</t>
    </r>
    <r>
      <rPr>
        <sz val="10"/>
        <color rgb="FF000000"/>
        <rFont val="Arial"/>
        <family val="2"/>
      </rPr>
      <t xml:space="preserve"> </t>
    </r>
    <r>
      <rPr>
        <sz val="10"/>
        <color rgb="FF000000"/>
        <rFont val="Malgun Gothic"/>
        <family val="2"/>
        <charset val="129"/>
      </rPr>
      <t>쉽게</t>
    </r>
    <r>
      <rPr>
        <sz val="10"/>
        <color rgb="FF000000"/>
        <rFont val="Arial"/>
        <family val="2"/>
      </rPr>
      <t xml:space="preserve"> </t>
    </r>
    <r>
      <rPr>
        <sz val="10"/>
        <color rgb="FF000000"/>
        <rFont val="Malgun Gothic"/>
        <family val="2"/>
        <charset val="129"/>
      </rPr>
      <t>잡힐</t>
    </r>
    <r>
      <rPr>
        <sz val="10"/>
        <color rgb="FF000000"/>
        <rFont val="Arial"/>
        <family val="2"/>
      </rPr>
      <t xml:space="preserve"> </t>
    </r>
    <r>
      <rPr>
        <sz val="10"/>
        <color rgb="FF000000"/>
        <rFont val="Malgun Gothic"/>
        <family val="2"/>
        <charset val="129"/>
      </rPr>
      <t>리</t>
    </r>
    <r>
      <rPr>
        <sz val="10"/>
        <color rgb="FF000000"/>
        <rFont val="Arial"/>
        <family val="2"/>
      </rPr>
      <t xml:space="preserve"> </t>
    </r>
    <r>
      <rPr>
        <sz val="10"/>
        <color rgb="FF000000"/>
        <rFont val="Malgun Gothic"/>
        <family val="2"/>
        <charset val="129"/>
      </rPr>
      <t>없었다</t>
    </r>
    <r>
      <rPr>
        <sz val="10"/>
        <color rgb="FF000000"/>
        <rFont val="Arial"/>
        <family val="2"/>
      </rPr>
      <t xml:space="preserve">. </t>
    </r>
    <r>
      <rPr>
        <sz val="10"/>
        <color rgb="FF000000"/>
        <rFont val="Malgun Gothic"/>
        <family val="2"/>
        <charset val="129"/>
      </rPr>
      <t>칼란은</t>
    </r>
    <r>
      <rPr>
        <sz val="10"/>
        <color rgb="FF000000"/>
        <rFont val="Arial"/>
        <family val="2"/>
      </rPr>
      <t xml:space="preserve"> </t>
    </r>
    <r>
      <rPr>
        <sz val="10"/>
        <color rgb="FF000000"/>
        <rFont val="Malgun Gothic"/>
        <family val="2"/>
        <charset val="129"/>
      </rPr>
      <t>알고</t>
    </r>
    <r>
      <rPr>
        <sz val="10"/>
        <color rgb="FF000000"/>
        <rFont val="Arial"/>
        <family val="2"/>
      </rPr>
      <t xml:space="preserve"> </t>
    </r>
    <r>
      <rPr>
        <sz val="10"/>
        <color rgb="FF000000"/>
        <rFont val="Malgun Gothic"/>
        <family val="2"/>
        <charset val="129"/>
      </rPr>
      <t>있었다</t>
    </r>
    <r>
      <rPr>
        <sz val="10"/>
        <color rgb="FF000000"/>
        <rFont val="Arial"/>
        <family val="2"/>
      </rPr>
      <t xml:space="preserve">. </t>
    </r>
    <r>
      <rPr>
        <sz val="10"/>
        <color rgb="FF000000"/>
        <rFont val="Malgun Gothic"/>
        <family val="2"/>
        <charset val="129"/>
      </rPr>
      <t>지금</t>
    </r>
    <r>
      <rPr>
        <sz val="10"/>
        <color rgb="FF000000"/>
        <rFont val="Arial"/>
        <family val="2"/>
      </rPr>
      <t xml:space="preserve"> </t>
    </r>
    <r>
      <rPr>
        <sz val="10"/>
        <color rgb="FF000000"/>
        <rFont val="Malgun Gothic"/>
        <family val="2"/>
        <charset val="129"/>
      </rPr>
      <t>그를</t>
    </r>
    <r>
      <rPr>
        <sz val="10"/>
        <color rgb="FF000000"/>
        <rFont val="Arial"/>
        <family val="2"/>
      </rPr>
      <t xml:space="preserve"> </t>
    </r>
    <r>
      <rPr>
        <sz val="10"/>
        <color rgb="FF000000"/>
        <rFont val="Malgun Gothic"/>
        <family val="2"/>
        <charset val="129"/>
      </rPr>
      <t>잡지</t>
    </r>
    <r>
      <rPr>
        <sz val="10"/>
        <color rgb="FF000000"/>
        <rFont val="Arial"/>
        <family val="2"/>
      </rPr>
      <t xml:space="preserve"> </t>
    </r>
    <r>
      <rPr>
        <sz val="10"/>
        <color rgb="FF000000"/>
        <rFont val="Malgun Gothic"/>
        <family val="2"/>
        <charset val="129"/>
      </rPr>
      <t>않으면</t>
    </r>
    <r>
      <rPr>
        <sz val="10"/>
        <color rgb="FF000000"/>
        <rFont val="Arial"/>
        <family val="2"/>
      </rPr>
      <t xml:space="preserve"> </t>
    </r>
    <r>
      <rPr>
        <sz val="10"/>
        <color rgb="FF000000"/>
        <rFont val="Malgun Gothic"/>
        <family val="2"/>
        <charset val="129"/>
      </rPr>
      <t>또</t>
    </r>
    <r>
      <rPr>
        <sz val="10"/>
        <color rgb="FF000000"/>
        <rFont val="Arial"/>
        <family val="2"/>
      </rPr>
      <t xml:space="preserve"> </t>
    </r>
    <r>
      <rPr>
        <sz val="10"/>
        <color rgb="FF000000"/>
        <rFont val="Malgun Gothic"/>
        <family val="2"/>
        <charset val="129"/>
      </rPr>
      <t>다른</t>
    </r>
    <r>
      <rPr>
        <sz val="10"/>
        <color rgb="FF000000"/>
        <rFont val="Arial"/>
        <family val="2"/>
      </rPr>
      <t xml:space="preserve"> </t>
    </r>
    <r>
      <rPr>
        <sz val="10"/>
        <color rgb="FF000000"/>
        <rFont val="Malgun Gothic"/>
        <family val="2"/>
        <charset val="129"/>
      </rPr>
      <t>전쟁이</t>
    </r>
    <r>
      <rPr>
        <sz val="10"/>
        <color rgb="FF000000"/>
        <rFont val="Arial"/>
        <family val="2"/>
      </rPr>
      <t xml:space="preserve"> </t>
    </r>
    <r>
      <rPr>
        <sz val="10"/>
        <color rgb="FF000000"/>
        <rFont val="Malgun Gothic"/>
        <family val="2"/>
        <charset val="129"/>
      </rPr>
      <t>조만간</t>
    </r>
    <r>
      <rPr>
        <sz val="10"/>
        <color rgb="FF000000"/>
        <rFont val="Arial"/>
        <family val="2"/>
      </rPr>
      <t xml:space="preserve"> </t>
    </r>
    <r>
      <rPr>
        <sz val="10"/>
        <color rgb="FF000000"/>
        <rFont val="Malgun Gothic"/>
        <family val="2"/>
        <charset val="129"/>
      </rPr>
      <t>일어날</t>
    </r>
    <r>
      <rPr>
        <sz val="10"/>
        <color rgb="FF000000"/>
        <rFont val="Arial"/>
        <family val="2"/>
      </rPr>
      <t xml:space="preserve"> </t>
    </r>
    <r>
      <rPr>
        <sz val="10"/>
        <color rgb="FF000000"/>
        <rFont val="Malgun Gothic"/>
        <family val="2"/>
        <charset val="129"/>
      </rPr>
      <t>것임을</t>
    </r>
    <r>
      <rPr>
        <sz val="10"/>
        <color rgb="FF000000"/>
        <rFont val="Arial"/>
        <family val="2"/>
      </rPr>
      <t xml:space="preserve">. </t>
    </r>
    <r>
      <rPr>
        <sz val="10"/>
        <color rgb="FF000000"/>
        <rFont val="Malgun Gothic"/>
        <family val="2"/>
        <charset val="129"/>
      </rPr>
      <t>그래서</t>
    </r>
    <r>
      <rPr>
        <sz val="10"/>
        <color rgb="FF000000"/>
        <rFont val="Arial"/>
        <family val="2"/>
      </rPr>
      <t xml:space="preserve"> </t>
    </r>
    <r>
      <rPr>
        <sz val="10"/>
        <color rgb="FF000000"/>
        <rFont val="Malgun Gothic"/>
        <family val="2"/>
        <charset val="129"/>
      </rPr>
      <t>그는</t>
    </r>
    <r>
      <rPr>
        <sz val="10"/>
        <color rgb="FF000000"/>
        <rFont val="Arial"/>
        <family val="2"/>
      </rPr>
      <t xml:space="preserve"> </t>
    </r>
    <r>
      <rPr>
        <sz val="10"/>
        <color rgb="FF000000"/>
        <rFont val="Malgun Gothic"/>
        <family val="2"/>
        <charset val="129"/>
      </rPr>
      <t>뉴먼을</t>
    </r>
    <r>
      <rPr>
        <sz val="10"/>
        <color rgb="FF000000"/>
        <rFont val="Arial"/>
        <family val="2"/>
      </rPr>
      <t xml:space="preserve"> </t>
    </r>
    <r>
      <rPr>
        <sz val="10"/>
        <color rgb="FF000000"/>
        <rFont val="Malgun Gothic"/>
        <family val="2"/>
        <charset val="129"/>
      </rPr>
      <t>잡기로</t>
    </r>
    <r>
      <rPr>
        <sz val="10"/>
        <color rgb="FF000000"/>
        <rFont val="Arial"/>
        <family val="2"/>
      </rPr>
      <t xml:space="preserve"> </t>
    </r>
    <r>
      <rPr>
        <sz val="10"/>
        <color rgb="FF000000"/>
        <rFont val="Malgun Gothic"/>
        <family val="2"/>
        <charset val="129"/>
      </rPr>
      <t>결심하고</t>
    </r>
    <r>
      <rPr>
        <sz val="10"/>
        <color rgb="FF000000"/>
        <rFont val="Arial"/>
        <family val="2"/>
      </rPr>
      <t xml:space="preserve"> </t>
    </r>
    <r>
      <rPr>
        <sz val="10"/>
        <color rgb="FF000000"/>
        <rFont val="Malgun Gothic"/>
        <family val="2"/>
        <charset val="129"/>
      </rPr>
      <t>홀로</t>
    </r>
    <r>
      <rPr>
        <sz val="10"/>
        <color rgb="FF000000"/>
        <rFont val="Arial"/>
        <family val="2"/>
      </rPr>
      <t xml:space="preserve"> </t>
    </r>
    <r>
      <rPr>
        <sz val="10"/>
        <color rgb="FF000000"/>
        <rFont val="Malgun Gothic"/>
        <family val="2"/>
        <charset val="129"/>
      </rPr>
      <t>그를</t>
    </r>
    <r>
      <rPr>
        <sz val="10"/>
        <color rgb="FF000000"/>
        <rFont val="Arial"/>
        <family val="2"/>
      </rPr>
      <t xml:space="preserve"> </t>
    </r>
    <r>
      <rPr>
        <sz val="10"/>
        <color rgb="FF000000"/>
        <rFont val="Malgun Gothic"/>
        <family val="2"/>
        <charset val="129"/>
      </rPr>
      <t>잡기</t>
    </r>
    <r>
      <rPr>
        <sz val="10"/>
        <color rgb="FF000000"/>
        <rFont val="Arial"/>
        <family val="2"/>
      </rPr>
      <t xml:space="preserve"> </t>
    </r>
    <r>
      <rPr>
        <sz val="10"/>
        <color rgb="FF000000"/>
        <rFont val="Malgun Gothic"/>
        <family val="2"/>
        <charset val="129"/>
      </rPr>
      <t>위해</t>
    </r>
    <r>
      <rPr>
        <sz val="10"/>
        <color rgb="FF000000"/>
        <rFont val="Arial"/>
        <family val="2"/>
      </rPr>
      <t xml:space="preserve"> </t>
    </r>
    <r>
      <rPr>
        <sz val="10"/>
        <color rgb="FF000000"/>
        <rFont val="Malgun Gothic"/>
        <family val="2"/>
        <charset val="129"/>
      </rPr>
      <t>길을</t>
    </r>
    <r>
      <rPr>
        <sz val="10"/>
        <color rgb="FF000000"/>
        <rFont val="Arial"/>
        <family val="2"/>
      </rPr>
      <t xml:space="preserve"> </t>
    </r>
    <r>
      <rPr>
        <sz val="10"/>
        <color rgb="FF000000"/>
        <rFont val="Malgun Gothic"/>
        <family val="2"/>
        <charset val="129"/>
      </rPr>
      <t>떠났다</t>
    </r>
    <r>
      <rPr>
        <sz val="10"/>
        <color rgb="FF000000"/>
        <rFont val="Arial"/>
        <family val="2"/>
      </rPr>
      <t>.</t>
    </r>
    <phoneticPr fontId="11"/>
  </si>
  <si>
    <t>ニューマンを追う途中に遭遇した敵は単なる強盗ではなかった。ニューマンは戦争で負けることを想定して退路を確保していたのであった。その用意周到さに敵ながら驚いたが、オークとヒューマンを威嚇する彼らを許すことはできない。カランは再び彼らを追い始めた。</t>
    <rPh sb="6" eb="7">
      <t>オ</t>
    </rPh>
    <rPh sb="8" eb="10">
      <t>トチュウ</t>
    </rPh>
    <rPh sb="11" eb="13">
      <t>ソウグウ</t>
    </rPh>
    <rPh sb="15" eb="16">
      <t>テキ</t>
    </rPh>
    <rPh sb="17" eb="18">
      <t>タン</t>
    </rPh>
    <rPh sb="20" eb="22">
      <t>ゴウトウ</t>
    </rPh>
    <rPh sb="35" eb="37">
      <t>センソウ</t>
    </rPh>
    <rPh sb="38" eb="39">
      <t>マ</t>
    </rPh>
    <rPh sb="44" eb="46">
      <t>ソウテイ</t>
    </rPh>
    <rPh sb="48" eb="50">
      <t>タイロ</t>
    </rPh>
    <rPh sb="51" eb="53">
      <t>カクホ</t>
    </rPh>
    <rPh sb="65" eb="69">
      <t>ヨウイシュウトウ</t>
    </rPh>
    <rPh sb="71" eb="72">
      <t>テキ</t>
    </rPh>
    <rPh sb="75" eb="76">
      <t>オドロ</t>
    </rPh>
    <rPh sb="90" eb="92">
      <t>イカク</t>
    </rPh>
    <rPh sb="94" eb="95">
      <t>カレ</t>
    </rPh>
    <rPh sb="97" eb="98">
      <t>ユル</t>
    </rPh>
    <rPh sb="111" eb="112">
      <t>フタタ</t>
    </rPh>
    <rPh sb="113" eb="114">
      <t>カレ</t>
    </rPh>
    <rPh sb="116" eb="117">
      <t>オ</t>
    </rPh>
    <rPh sb="118" eb="119">
      <t>ハジ</t>
    </rPh>
    <phoneticPr fontId="11"/>
  </si>
  <si>
    <t>HQ of the army. Workers can be trained in this building.</t>
    <phoneticPr fontId="11"/>
  </si>
  <si>
    <t>軍隊の本部。この建物でワーカーが訓練をします。</t>
    <rPh sb="0" eb="2">
      <t>グンタイ</t>
    </rPh>
    <rPh sb="3" eb="5">
      <t>ホンブ</t>
    </rPh>
    <rPh sb="8" eb="10">
      <t>タテモノ</t>
    </rPh>
    <rPh sb="16" eb="18">
      <t>クンレン</t>
    </rPh>
    <phoneticPr fontId="11"/>
  </si>
  <si>
    <t>オークが自軍に料理を提供する場所です。</t>
    <rPh sb="4" eb="5">
      <t>ジ</t>
    </rPh>
    <rPh sb="5" eb="6">
      <t>グン</t>
    </rPh>
    <rPh sb="7" eb="9">
      <t>リョウリ</t>
    </rPh>
    <rPh sb="10" eb="12">
      <t>テイキョウ</t>
    </rPh>
    <rPh sb="14" eb="16">
      <t>バショ</t>
    </rPh>
    <phoneticPr fontId="11"/>
  </si>
  <si>
    <t>Wizards are trained here. Do not try to get on the stage without permission.</t>
    <phoneticPr fontId="11"/>
  </si>
  <si>
    <t>魔術師はここで訓練をします。勝手に入るのはやめてください。</t>
    <rPh sb="7" eb="9">
      <t>クンレン</t>
    </rPh>
    <rPh sb="14" eb="16">
      <t>カッテ</t>
    </rPh>
    <rPh sb="17" eb="18">
      <t>ハイ</t>
    </rPh>
    <phoneticPr fontId="11"/>
  </si>
  <si>
    <t>農場では食べ物を作ります。多くの兵士を集めるためには食べ物もたくさん用意してください。</t>
    <rPh sb="0" eb="2">
      <t>ノウジョウ</t>
    </rPh>
    <rPh sb="4" eb="5">
      <t>タ</t>
    </rPh>
    <rPh sb="6" eb="7">
      <t>モノ</t>
    </rPh>
    <rPh sb="8" eb="9">
      <t>ツク</t>
    </rPh>
    <rPh sb="13" eb="14">
      <t>オオ</t>
    </rPh>
    <rPh sb="16" eb="18">
      <t>ヘイシ</t>
    </rPh>
    <rPh sb="19" eb="20">
      <t>アツ</t>
    </rPh>
    <rPh sb="26" eb="27">
      <t>タ</t>
    </rPh>
    <rPh sb="28" eb="29">
      <t>モノ</t>
    </rPh>
    <rPh sb="34" eb="36">
      <t>ヨウイ</t>
    </rPh>
    <phoneticPr fontId="11"/>
  </si>
  <si>
    <t>兵士はここでアップグレードできます。</t>
    <rPh sb="0" eb="2">
      <t>ヘイシ</t>
    </rPh>
    <phoneticPr fontId="11"/>
  </si>
  <si>
    <t>信号弾が打ち上げられるまでパンか―には防衛兵士が隠れて待機します。</t>
    <rPh sb="4" eb="5">
      <t>ウ</t>
    </rPh>
    <rPh sb="6" eb="7">
      <t>ア</t>
    </rPh>
    <rPh sb="19" eb="23">
      <t>ボウエイヘイシ</t>
    </rPh>
    <rPh sb="24" eb="25">
      <t>カク</t>
    </rPh>
    <rPh sb="27" eb="29">
      <t>タイキ</t>
    </rPh>
    <phoneticPr fontId="11"/>
  </si>
  <si>
    <t>監視塔は侵入者を攻撃することができます。</t>
    <rPh sb="4" eb="6">
      <t>シンニュウ</t>
    </rPh>
    <rPh sb="6" eb="7">
      <t>シャ</t>
    </rPh>
    <rPh sb="8" eb="10">
      <t>コウゲキ</t>
    </rPh>
    <phoneticPr fontId="11"/>
  </si>
  <si>
    <t>ワーカーはここに木材を保存することができます。そしてここで加工された木材はレベルの高い建物を建てるのに必要な木材となります。</t>
    <rPh sb="8" eb="10">
      <t>モクザイ</t>
    </rPh>
    <rPh sb="11" eb="13">
      <t>ホゾン</t>
    </rPh>
    <rPh sb="29" eb="31">
      <t>カコウ</t>
    </rPh>
    <rPh sb="34" eb="36">
      <t>モクザイ</t>
    </rPh>
    <rPh sb="41" eb="42">
      <t>タカ</t>
    </rPh>
    <rPh sb="43" eb="45">
      <t>タテモノ</t>
    </rPh>
    <rPh sb="46" eb="47">
      <t>タ</t>
    </rPh>
    <rPh sb="51" eb="53">
      <t>ヒツヨウ</t>
    </rPh>
    <rPh sb="54" eb="56">
      <t>モクザイ</t>
    </rPh>
    <phoneticPr fontId="11"/>
  </si>
  <si>
    <t>信号弾の合図で地下バンカーから防衛兵力が外に出ます。</t>
    <rPh sb="0" eb="2">
      <t>シンゴウ</t>
    </rPh>
    <rPh sb="2" eb="3">
      <t>ダン</t>
    </rPh>
    <rPh sb="4" eb="6">
      <t>アイズ</t>
    </rPh>
    <rPh sb="7" eb="9">
      <t>チカ</t>
    </rPh>
    <rPh sb="15" eb="17">
      <t>ボウエイ</t>
    </rPh>
    <rPh sb="17" eb="19">
      <t>ヘイリョク</t>
    </rPh>
    <rPh sb="20" eb="21">
      <t>ソト</t>
    </rPh>
    <rPh sb="22" eb="23">
      <t>デ</t>
    </rPh>
    <phoneticPr fontId="11"/>
  </si>
  <si>
    <t>工場は、投石機のような大きいユニットを生産します。</t>
    <rPh sb="0" eb="2">
      <t>コウジョウ</t>
    </rPh>
    <rPh sb="4" eb="6">
      <t>トウセキ</t>
    </rPh>
    <rPh sb="6" eb="7">
      <t>キ</t>
    </rPh>
    <rPh sb="11" eb="12">
      <t>オオ</t>
    </rPh>
    <rPh sb="19" eb="21">
      <t>セイサン</t>
    </rPh>
    <phoneticPr fontId="11"/>
  </si>
  <si>
    <t>ここではヘリコプターを生産します。ヘリコプターは飛ぶ以外何もできません。</t>
    <rPh sb="11" eb="13">
      <t>セイサン</t>
    </rPh>
    <rPh sb="24" eb="25">
      <t>ト</t>
    </rPh>
    <rPh sb="26" eb="28">
      <t>イガイ</t>
    </rPh>
    <rPh sb="28" eb="29">
      <t>ナニ</t>
    </rPh>
    <phoneticPr fontId="11"/>
  </si>
  <si>
    <t>鉱山でゴールドを採掘することができます。</t>
    <rPh sb="0" eb="2">
      <t>コウザン</t>
    </rPh>
    <phoneticPr fontId="11"/>
  </si>
  <si>
    <t>オークの族長がいる場所です。</t>
    <rPh sb="4" eb="6">
      <t>ゾクチョウ</t>
    </rPh>
    <rPh sb="9" eb="11">
      <t>バショ</t>
    </rPh>
    <phoneticPr fontId="11"/>
  </si>
  <si>
    <t>オークの兵士たちが訓練します。</t>
    <rPh sb="4" eb="6">
      <t>ヘイシ</t>
    </rPh>
    <rPh sb="9" eb="11">
      <t>クンレン</t>
    </rPh>
    <phoneticPr fontId="11"/>
  </si>
  <si>
    <t>オークの矢はここから放たれます。ここに入ってしまったヒューマンが生きて出られることはありません。</t>
    <rPh sb="4" eb="5">
      <t>ヤ</t>
    </rPh>
    <rPh sb="10" eb="11">
      <t>ハナ</t>
    </rPh>
    <rPh sb="19" eb="20">
      <t>ハイ</t>
    </rPh>
    <rPh sb="32" eb="33">
      <t>イ</t>
    </rPh>
    <rPh sb="35" eb="36">
      <t>デ</t>
    </rPh>
    <phoneticPr fontId="11"/>
  </si>
  <si>
    <t>臆病なトロールが住んでいます。</t>
    <rPh sb="8" eb="9">
      <t>ス</t>
    </rPh>
    <phoneticPr fontId="11"/>
  </si>
  <si>
    <t>ワーカーはゴールドと木材を採集します。</t>
    <rPh sb="10" eb="12">
      <t>モクザイ</t>
    </rPh>
    <rPh sb="13" eb="15">
      <t>サイシュウ</t>
    </rPh>
    <phoneticPr fontId="11"/>
  </si>
  <si>
    <t>剣士は早くて強い戦士です。</t>
    <rPh sb="0" eb="2">
      <t>ケンシ</t>
    </rPh>
    <rPh sb="3" eb="4">
      <t>ハヤ</t>
    </rPh>
    <rPh sb="6" eb="7">
      <t>ツヨ</t>
    </rPh>
    <rPh sb="8" eb="10">
      <t>センシ</t>
    </rPh>
    <phoneticPr fontId="11"/>
  </si>
  <si>
    <t>射手は遠くにいる敵を攻撃することができます。</t>
    <rPh sb="0" eb="2">
      <t>シャテ</t>
    </rPh>
    <rPh sb="3" eb="4">
      <t>トオ</t>
    </rPh>
    <rPh sb="8" eb="9">
      <t>テキ</t>
    </rPh>
    <rPh sb="10" eb="12">
      <t>コウゲキ</t>
    </rPh>
    <phoneticPr fontId="11"/>
  </si>
  <si>
    <t>魔法師は魔法で悪を裁きます。</t>
    <rPh sb="0" eb="2">
      <t>マホウ</t>
    </rPh>
    <rPh sb="2" eb="3">
      <t>シ</t>
    </rPh>
    <rPh sb="4" eb="6">
      <t>マホウ</t>
    </rPh>
    <rPh sb="7" eb="8">
      <t>アク</t>
    </rPh>
    <rPh sb="9" eb="10">
      <t>サバ</t>
    </rPh>
    <phoneticPr fontId="11"/>
  </si>
  <si>
    <t>ドローン兵は飛行が可能で、砂利を投げて攻撃します。</t>
    <rPh sb="4" eb="5">
      <t>ヘイ</t>
    </rPh>
    <rPh sb="6" eb="8">
      <t>ヒコウ</t>
    </rPh>
    <rPh sb="9" eb="11">
      <t>カノウ</t>
    </rPh>
    <rPh sb="13" eb="15">
      <t>ジャリ</t>
    </rPh>
    <rPh sb="16" eb="17">
      <t>ナ</t>
    </rPh>
    <rPh sb="19" eb="21">
      <t>コウゲキ</t>
    </rPh>
    <phoneticPr fontId="11"/>
  </si>
  <si>
    <t>このユニットは非常に遅いです。しかしどのユニットよりも強力な武器です。大きいゾンビ軍を退治できる唯一の武器でもあります。</t>
    <rPh sb="7" eb="9">
      <t>ヒジョウ</t>
    </rPh>
    <rPh sb="10" eb="11">
      <t>オソ</t>
    </rPh>
    <rPh sb="27" eb="29">
      <t>キョウリョク</t>
    </rPh>
    <rPh sb="30" eb="32">
      <t>ブキ</t>
    </rPh>
    <rPh sb="35" eb="36">
      <t>オオ</t>
    </rPh>
    <rPh sb="41" eb="42">
      <t>グン</t>
    </rPh>
    <rPh sb="43" eb="45">
      <t>タイジ</t>
    </rPh>
    <rPh sb="48" eb="50">
      <t>ユイツ</t>
    </rPh>
    <rPh sb="51" eb="53">
      <t>ブキ</t>
    </rPh>
    <phoneticPr fontId="11"/>
  </si>
  <si>
    <t>ゴブリンはオークのためにゴールドと木材を採集します。</t>
    <rPh sb="17" eb="19">
      <t>モクザイ</t>
    </rPh>
    <rPh sb="20" eb="22">
      <t>サイシュウ</t>
    </rPh>
    <phoneticPr fontId="11"/>
  </si>
  <si>
    <t>ゴブリンは早くて欲張りです。</t>
    <rPh sb="5" eb="6">
      <t>ハヤ</t>
    </rPh>
    <rPh sb="8" eb="10">
      <t>ヨクバ</t>
    </rPh>
    <phoneticPr fontId="11"/>
  </si>
  <si>
    <t>彼らはすべてを吹き飛ばせるほど強力な爆弾を運んでいます。</t>
    <rPh sb="0" eb="1">
      <t>カレ</t>
    </rPh>
    <rPh sb="7" eb="8">
      <t>フ</t>
    </rPh>
    <rPh sb="9" eb="10">
      <t>ト</t>
    </rPh>
    <rPh sb="15" eb="17">
      <t>キョウリョク</t>
    </rPh>
    <rPh sb="18" eb="20">
      <t>バクダン</t>
    </rPh>
    <rPh sb="21" eb="22">
      <t>ハコ</t>
    </rPh>
    <phoneticPr fontId="11"/>
  </si>
  <si>
    <t>オークの斧は非常に危険です。</t>
    <rPh sb="4" eb="5">
      <t>オノ</t>
    </rPh>
    <rPh sb="6" eb="8">
      <t>ヒジョウ</t>
    </rPh>
    <rPh sb="9" eb="11">
      <t>キケン</t>
    </rPh>
    <phoneticPr fontId="11"/>
  </si>
  <si>
    <t>オークの槍は弾のように飛びます。</t>
    <rPh sb="4" eb="5">
      <t>ヤリ</t>
    </rPh>
    <rPh sb="6" eb="7">
      <t>タマ</t>
    </rPh>
    <rPh sb="11" eb="12">
      <t>ト</t>
    </rPh>
    <phoneticPr fontId="11"/>
  </si>
  <si>
    <t>トロールは遅くて大きいです。</t>
    <rPh sb="5" eb="6">
      <t>オソ</t>
    </rPh>
    <rPh sb="8" eb="9">
      <t>オオ</t>
    </rPh>
    <phoneticPr fontId="11"/>
  </si>
  <si>
    <t>一度死んだ人は二度死なない。</t>
    <rPh sb="0" eb="2">
      <t>イチド</t>
    </rPh>
    <rPh sb="2" eb="3">
      <t>シ</t>
    </rPh>
    <rPh sb="5" eb="6">
      <t>ヒト</t>
    </rPh>
    <rPh sb="7" eb="9">
      <t>ニド</t>
    </rPh>
    <rPh sb="9" eb="10">
      <t>シ</t>
    </rPh>
    <phoneticPr fontId="11"/>
  </si>
  <si>
    <t>あなたは彼らが再び死ねると思いますか？</t>
    <rPh sb="4" eb="5">
      <t>カレ</t>
    </rPh>
    <rPh sb="7" eb="8">
      <t>フタタ</t>
    </rPh>
    <rPh sb="9" eb="10">
      <t>シ</t>
    </rPh>
    <rPh sb="13" eb="14">
      <t>オモ</t>
    </rPh>
    <phoneticPr fontId="11"/>
  </si>
  <si>
    <t>感染したオーク戦士</t>
    <rPh sb="0" eb="2">
      <t>カンセン</t>
    </rPh>
    <rPh sb="7" eb="9">
      <t>センシ</t>
    </rPh>
    <phoneticPr fontId="11"/>
  </si>
  <si>
    <t>感染したヒューマン</t>
    <rPh sb="0" eb="2">
      <t>カンセン</t>
    </rPh>
    <phoneticPr fontId="11"/>
  </si>
  <si>
    <t>チャプター２をクリアすると使用できます。</t>
    <rPh sb="13" eb="15">
      <t>シヨウ</t>
    </rPh>
    <phoneticPr fontId="11"/>
  </si>
  <si>
    <t>前のチャプターをすべてクリアするか、黄金の鍵を購入すると開けることができます。</t>
    <rPh sb="0" eb="1">
      <t>マエ</t>
    </rPh>
    <rPh sb="18" eb="20">
      <t>オウゴン</t>
    </rPh>
    <rPh sb="21" eb="22">
      <t>カギ</t>
    </rPh>
    <rPh sb="23" eb="25">
      <t>コウニュウ</t>
    </rPh>
    <rPh sb="28" eb="29">
      <t>ア</t>
    </rPh>
    <phoneticPr fontId="11"/>
  </si>
  <si>
    <r>
      <rPr>
        <sz val="10"/>
        <color rgb="FF000000"/>
        <rFont val="Malgun Gothic"/>
        <family val="2"/>
        <charset val="129"/>
      </rPr>
      <t>당신은</t>
    </r>
    <r>
      <rPr>
        <sz val="10"/>
        <color rgb="FF000000"/>
        <rFont val="Arial"/>
        <family val="2"/>
      </rPr>
      <t xml:space="preserve"> </t>
    </r>
    <r>
      <rPr>
        <sz val="10"/>
        <color rgb="FF000000"/>
        <rFont val="Malgun Gothic"/>
        <family val="2"/>
        <charset val="129"/>
      </rPr>
      <t>리그</t>
    </r>
    <r>
      <rPr>
        <sz val="10"/>
        <color rgb="FF000000"/>
        <rFont val="Arial"/>
        <family val="2"/>
      </rPr>
      <t xml:space="preserve"> </t>
    </r>
    <r>
      <rPr>
        <sz val="10"/>
        <color rgb="FF000000"/>
        <rFont val="Malgun Gothic"/>
        <family val="2"/>
        <charset val="129"/>
      </rPr>
      <t>최고의</t>
    </r>
    <r>
      <rPr>
        <sz val="10"/>
        <color rgb="FF000000"/>
        <rFont val="Arial"/>
        <family val="2"/>
      </rPr>
      <t xml:space="preserve"> </t>
    </r>
    <r>
      <rPr>
        <sz val="10"/>
        <color rgb="FF000000"/>
        <rFont val="Malgun Gothic"/>
        <family val="2"/>
        <charset val="129"/>
      </rPr>
      <t>자리를</t>
    </r>
    <r>
      <rPr>
        <sz val="10"/>
        <color rgb="FF000000"/>
        <rFont val="Arial"/>
        <family val="2"/>
      </rPr>
      <t xml:space="preserve"> </t>
    </r>
    <r>
      <rPr>
        <sz val="10"/>
        <color rgb="FF000000"/>
        <rFont val="Malgun Gothic"/>
        <family val="2"/>
        <charset val="129"/>
      </rPr>
      <t>차지했습니다</t>
    </r>
    <r>
      <rPr>
        <sz val="10"/>
        <color rgb="FF000000"/>
        <rFont val="Arial"/>
        <family val="2"/>
      </rPr>
      <t xml:space="preserve">! </t>
    </r>
    <r>
      <rPr>
        <sz val="10"/>
        <color rgb="FF000000"/>
        <rFont val="Malgun Gothic"/>
        <family val="2"/>
        <charset val="129"/>
      </rPr>
      <t>나는</t>
    </r>
    <r>
      <rPr>
        <sz val="10"/>
        <color rgb="FF000000"/>
        <rFont val="Arial"/>
        <family val="2"/>
      </rPr>
      <t xml:space="preserve"> </t>
    </r>
    <r>
      <rPr>
        <sz val="10"/>
        <color rgb="FF000000"/>
        <rFont val="Malgun Gothic"/>
        <family val="2"/>
        <charset val="129"/>
      </rPr>
      <t>사람들이</t>
    </r>
    <r>
      <rPr>
        <sz val="10"/>
        <color rgb="FF000000"/>
        <rFont val="Arial"/>
        <family val="2"/>
      </rPr>
      <t xml:space="preserve"> </t>
    </r>
    <r>
      <rPr>
        <sz val="10"/>
        <color rgb="FF000000"/>
        <rFont val="Malgun Gothic"/>
        <family val="2"/>
        <charset val="129"/>
      </rPr>
      <t>오늘</t>
    </r>
    <r>
      <rPr>
        <sz val="10"/>
        <color rgb="FF000000"/>
        <rFont val="Arial"/>
        <family val="2"/>
      </rPr>
      <t xml:space="preserve"> </t>
    </r>
    <r>
      <rPr>
        <sz val="10"/>
        <color rgb="FF000000"/>
        <rFont val="Malgun Gothic"/>
        <family val="2"/>
        <charset val="129"/>
      </rPr>
      <t>너를보고</t>
    </r>
    <r>
      <rPr>
        <sz val="10"/>
        <color rgb="FF000000"/>
        <rFont val="Arial"/>
        <family val="2"/>
      </rPr>
      <t xml:space="preserve"> </t>
    </r>
    <r>
      <rPr>
        <sz val="10"/>
        <color rgb="FF000000"/>
        <rFont val="Malgun Gothic"/>
        <family val="2"/>
        <charset val="129"/>
      </rPr>
      <t>싶어한다는</t>
    </r>
    <r>
      <rPr>
        <sz val="10"/>
        <color rgb="FF000000"/>
        <rFont val="Arial"/>
        <family val="2"/>
      </rPr>
      <t xml:space="preserve"> </t>
    </r>
    <r>
      <rPr>
        <sz val="10"/>
        <color rgb="FF000000"/>
        <rFont val="Malgun Gothic"/>
        <family val="2"/>
        <charset val="129"/>
      </rPr>
      <t>것에</t>
    </r>
    <r>
      <rPr>
        <sz val="10"/>
        <color rgb="FF000000"/>
        <rFont val="Arial"/>
        <family val="2"/>
      </rPr>
      <t xml:space="preserve"> </t>
    </r>
    <r>
      <rPr>
        <sz val="10"/>
        <color rgb="FF000000"/>
        <rFont val="Malgun Gothic"/>
        <family val="2"/>
        <charset val="129"/>
      </rPr>
      <t>의심의</t>
    </r>
    <r>
      <rPr>
        <sz val="10"/>
        <color rgb="FF000000"/>
        <rFont val="Arial"/>
        <family val="2"/>
      </rPr>
      <t xml:space="preserve"> </t>
    </r>
    <r>
      <rPr>
        <sz val="10"/>
        <color rgb="FF000000"/>
        <rFont val="Malgun Gothic"/>
        <family val="2"/>
        <charset val="129"/>
      </rPr>
      <t>여지가</t>
    </r>
    <r>
      <rPr>
        <sz val="10"/>
        <color rgb="FF000000"/>
        <rFont val="Arial"/>
        <family val="2"/>
      </rPr>
      <t xml:space="preserve"> </t>
    </r>
    <r>
      <rPr>
        <sz val="10"/>
        <color rgb="FF000000"/>
        <rFont val="Malgun Gothic"/>
        <family val="2"/>
        <charset val="129"/>
      </rPr>
      <t>없다</t>
    </r>
    <r>
      <rPr>
        <sz val="10"/>
        <color rgb="FF000000"/>
        <rFont val="Arial"/>
        <family val="2"/>
      </rPr>
      <t>.</t>
    </r>
    <phoneticPr fontId="11"/>
  </si>
  <si>
    <t>リーグのトップを獲得しました！</t>
    <rPh sb="8" eb="10">
      <t>カクトク</t>
    </rPh>
    <phoneticPr fontId="11"/>
  </si>
  <si>
    <t>信じられないけど、あなたの偉大さはコロッセウムで確認できます。報酬を受け取ってください。</t>
    <rPh sb="0" eb="1">
      <t>シン</t>
    </rPh>
    <rPh sb="13" eb="15">
      <t>イダイ</t>
    </rPh>
    <rPh sb="24" eb="26">
      <t>カクニン</t>
    </rPh>
    <rPh sb="31" eb="33">
      <t>ホウシュウ</t>
    </rPh>
    <rPh sb="34" eb="35">
      <t>ウ</t>
    </rPh>
    <rPh sb="36" eb="37">
      <t>ト</t>
    </rPh>
    <phoneticPr fontId="11"/>
  </si>
  <si>
    <t>素晴らしいです！報酬を受け取ってください。</t>
    <rPh sb="0" eb="2">
      <t>スバ</t>
    </rPh>
    <rPh sb="8" eb="10">
      <t>ホウシュウ</t>
    </rPh>
    <rPh sb="11" eb="12">
      <t>ウ</t>
    </rPh>
    <rPh sb="13" eb="14">
      <t>ト</t>
    </rPh>
    <phoneticPr fontId="11"/>
  </si>
  <si>
    <t>昨日のあなたは素晴らしかった！報酬を受け取って、今日もコロッセウムでの活躍を期待してます！</t>
    <rPh sb="0" eb="2">
      <t>キノウ</t>
    </rPh>
    <rPh sb="7" eb="9">
      <t>スバ</t>
    </rPh>
    <rPh sb="15" eb="17">
      <t>ホウシュウ</t>
    </rPh>
    <rPh sb="18" eb="19">
      <t>ウ</t>
    </rPh>
    <rPh sb="20" eb="21">
      <t>ト</t>
    </rPh>
    <rPh sb="24" eb="26">
      <t>キョウ</t>
    </rPh>
    <rPh sb="35" eb="37">
      <t>カツヤク</t>
    </rPh>
    <rPh sb="38" eb="40">
      <t>キタイ</t>
    </rPh>
    <phoneticPr fontId="11"/>
  </si>
  <si>
    <t>今日のアリーナに挑む初めての挑戦者になりましょう！</t>
    <rPh sb="0" eb="2">
      <t>キョウ</t>
    </rPh>
    <rPh sb="8" eb="9">
      <t>イド</t>
    </rPh>
    <rPh sb="10" eb="11">
      <t>ハジ</t>
    </rPh>
    <rPh sb="14" eb="17">
      <t>チョウセンシャ</t>
    </rPh>
    <phoneticPr fontId="11"/>
  </si>
  <si>
    <r>
      <t>hero&gt;</t>
    </r>
    <r>
      <rPr>
        <sz val="10"/>
        <color rgb="FF000000"/>
        <rFont val="Malgun Gothic"/>
        <family val="2"/>
        <charset val="129"/>
      </rPr>
      <t>칼란</t>
    </r>
    <r>
      <rPr>
        <sz val="10"/>
        <color rgb="FF000000"/>
        <rFont val="Helvetica"/>
        <family val="2"/>
      </rPr>
      <t xml:space="preserve">! </t>
    </r>
    <r>
      <rPr>
        <sz val="10"/>
        <color rgb="FF000000"/>
        <rFont val="Malgun Gothic"/>
        <family val="2"/>
        <charset val="129"/>
      </rPr>
      <t>네가</t>
    </r>
    <r>
      <rPr>
        <sz val="10"/>
        <color rgb="FF000000"/>
        <rFont val="Helvetica"/>
        <family val="2"/>
      </rPr>
      <t xml:space="preserve"> </t>
    </r>
    <r>
      <rPr>
        <sz val="10"/>
        <color rgb="FF000000"/>
        <rFont val="Malgun Gothic"/>
        <family val="2"/>
        <charset val="129"/>
      </rPr>
      <t>오늘을</t>
    </r>
    <r>
      <rPr>
        <sz val="10"/>
        <color rgb="FF000000"/>
        <rFont val="Helvetica"/>
        <family val="2"/>
      </rPr>
      <t xml:space="preserve"> </t>
    </r>
    <r>
      <rPr>
        <sz val="10"/>
        <color rgb="FF000000"/>
        <rFont val="Malgun Gothic"/>
        <family val="2"/>
        <charset val="129"/>
      </rPr>
      <t>고대한</t>
    </r>
    <r>
      <rPr>
        <sz val="10"/>
        <color rgb="FF000000"/>
        <rFont val="Helvetica"/>
        <family val="2"/>
      </rPr>
      <t xml:space="preserve"> </t>
    </r>
    <r>
      <rPr>
        <sz val="10"/>
        <color rgb="FF000000"/>
        <rFont val="Malgun Gothic"/>
        <family val="2"/>
        <charset val="129"/>
      </rPr>
      <t>건</t>
    </r>
    <r>
      <rPr>
        <sz val="10"/>
        <color rgb="FF000000"/>
        <rFont val="Helvetica"/>
        <family val="2"/>
      </rPr>
      <t xml:space="preserve"> </t>
    </r>
    <r>
      <rPr>
        <sz val="10"/>
        <color rgb="FF000000"/>
        <rFont val="Malgun Gothic"/>
        <family val="2"/>
        <charset val="129"/>
      </rPr>
      <t>알고</t>
    </r>
    <r>
      <rPr>
        <sz val="10"/>
        <color rgb="FF000000"/>
        <rFont val="Helvetica"/>
        <family val="2"/>
      </rPr>
      <t xml:space="preserve"> </t>
    </r>
    <r>
      <rPr>
        <sz val="10"/>
        <color rgb="FF000000"/>
        <rFont val="Malgun Gothic"/>
        <family val="2"/>
        <charset val="129"/>
      </rPr>
      <t>있다</t>
    </r>
    <r>
      <rPr>
        <sz val="10"/>
        <color rgb="FF000000"/>
        <rFont val="Helvetica"/>
        <family val="2"/>
      </rPr>
      <t>!</t>
    </r>
    <phoneticPr fontId="11"/>
  </si>
  <si>
    <t>資源の損失を防ぐ</t>
    <rPh sb="0" eb="2">
      <t>シゲン</t>
    </rPh>
    <rPh sb="3" eb="5">
      <t>ソンシツ</t>
    </rPh>
    <rPh sb="6" eb="7">
      <t>フセ</t>
    </rPh>
    <phoneticPr fontId="11"/>
  </si>
  <si>
    <t>カランはニューマンを追う途中で大軍と遭遇した。戦力はかなり多く、敗戦に備えるべきだ。近くのニュートラル族と同盟を結んだにちがいない。しかし、さらなる被害を防ぐためにはこの戦いを避けるわけにはいかない。</t>
    <rPh sb="10" eb="11">
      <t>オ</t>
    </rPh>
    <rPh sb="12" eb="14">
      <t>トチュウ</t>
    </rPh>
    <rPh sb="15" eb="17">
      <t>タイグン</t>
    </rPh>
    <rPh sb="18" eb="20">
      <t>ソウグウ</t>
    </rPh>
    <rPh sb="23" eb="25">
      <t>センリョク</t>
    </rPh>
    <rPh sb="29" eb="30">
      <t>オオ</t>
    </rPh>
    <rPh sb="32" eb="34">
      <t>ハイセン</t>
    </rPh>
    <rPh sb="35" eb="36">
      <t>ソナ</t>
    </rPh>
    <rPh sb="42" eb="43">
      <t>チカ</t>
    </rPh>
    <rPh sb="51" eb="52">
      <t>ゾク</t>
    </rPh>
    <rPh sb="53" eb="55">
      <t>ドウメイ</t>
    </rPh>
    <rPh sb="56" eb="57">
      <t>ムス</t>
    </rPh>
    <rPh sb="74" eb="76">
      <t>ヒガイ</t>
    </rPh>
    <rPh sb="77" eb="78">
      <t>フセ</t>
    </rPh>
    <rPh sb="85" eb="86">
      <t>タタカ</t>
    </rPh>
    <rPh sb="88" eb="89">
      <t>サ</t>
    </rPh>
    <phoneticPr fontId="11"/>
  </si>
  <si>
    <t>カランはニュートラル族との戦いに勝利し、滝にたどり着く。そしてニューマンをそこへ連れてきた精鋭部隊と会うことができた。彼らの力は、尽きかけていたが、カランを感じた。カランも、これはきつい戦闘になると感じた。</t>
    <rPh sb="10" eb="11">
      <t>ゾク</t>
    </rPh>
    <rPh sb="13" eb="14">
      <t>タタカ</t>
    </rPh>
    <rPh sb="16" eb="18">
      <t>ショウリ</t>
    </rPh>
    <rPh sb="20" eb="21">
      <t>タキ</t>
    </rPh>
    <rPh sb="25" eb="26">
      <t>ツ</t>
    </rPh>
    <rPh sb="40" eb="41">
      <t>ツ</t>
    </rPh>
    <rPh sb="45" eb="47">
      <t>セイエイ</t>
    </rPh>
    <rPh sb="47" eb="49">
      <t>ブタイ</t>
    </rPh>
    <rPh sb="50" eb="51">
      <t>ア</t>
    </rPh>
    <rPh sb="59" eb="60">
      <t>カレ</t>
    </rPh>
    <rPh sb="62" eb="63">
      <t>チカラ</t>
    </rPh>
    <rPh sb="65" eb="66">
      <t>ツ</t>
    </rPh>
    <rPh sb="78" eb="79">
      <t>カン</t>
    </rPh>
    <rPh sb="93" eb="95">
      <t>セントウ</t>
    </rPh>
    <rPh sb="99" eb="100">
      <t>カン</t>
    </rPh>
    <phoneticPr fontId="11"/>
  </si>
  <si>
    <t>カランは、精鋭部隊とともに先頭にすべての力を注ぎ、二本の足で立っているのがやっとだった。しかしカランはニューマンが滝のどこかに隠れていると確信していたので、休むわけにはいかない。しかしすぐに、別の兵士が退出を阻んだ。カランがすべて罠だったと気づいたときには、すでに遅すぎた。</t>
    <rPh sb="5" eb="7">
      <t>セイエイ</t>
    </rPh>
    <rPh sb="7" eb="9">
      <t>ブタイ</t>
    </rPh>
    <rPh sb="13" eb="15">
      <t>セントウ</t>
    </rPh>
    <rPh sb="20" eb="21">
      <t>チカラ</t>
    </rPh>
    <rPh sb="22" eb="23">
      <t>ソソ</t>
    </rPh>
    <rPh sb="25" eb="27">
      <t>ニホン</t>
    </rPh>
    <rPh sb="28" eb="29">
      <t>アシ</t>
    </rPh>
    <rPh sb="30" eb="31">
      <t>タ</t>
    </rPh>
    <rPh sb="57" eb="58">
      <t>タキ</t>
    </rPh>
    <rPh sb="63" eb="64">
      <t>カク</t>
    </rPh>
    <rPh sb="69" eb="71">
      <t>カクシン</t>
    </rPh>
    <rPh sb="78" eb="79">
      <t>ヤス</t>
    </rPh>
    <rPh sb="96" eb="97">
      <t>ベツ</t>
    </rPh>
    <rPh sb="98" eb="100">
      <t>ヘイシ</t>
    </rPh>
    <rPh sb="101" eb="103">
      <t>タイシュツ</t>
    </rPh>
    <rPh sb="104" eb="105">
      <t>ハバ</t>
    </rPh>
    <rPh sb="115" eb="116">
      <t>ワナ</t>
    </rPh>
    <rPh sb="120" eb="121">
      <t>キ</t>
    </rPh>
    <rPh sb="132" eb="133">
      <t>オソ</t>
    </rPh>
    <phoneticPr fontId="11"/>
  </si>
  <si>
    <t>アダンの助けにより劇的に生き延びたカランは、滝を観察して気づいた。アリーの大戦闘でのニューマンの敗北もまた、この罠の一部であった。この壮大な罠により、いくつの命が奪われねばならないのか。カランは怒り、滝に飛び込み、カランを待ち構えているニューマンに突進した。</t>
    <rPh sb="4" eb="5">
      <t>タス</t>
    </rPh>
    <rPh sb="9" eb="11">
      <t>ゲキテキ</t>
    </rPh>
    <rPh sb="12" eb="13">
      <t>イ</t>
    </rPh>
    <rPh sb="14" eb="15">
      <t>ノ</t>
    </rPh>
    <rPh sb="22" eb="23">
      <t>タキ</t>
    </rPh>
    <rPh sb="24" eb="26">
      <t>カンサツ</t>
    </rPh>
    <rPh sb="28" eb="29">
      <t>キ</t>
    </rPh>
    <rPh sb="37" eb="40">
      <t>ダイセントウ</t>
    </rPh>
    <rPh sb="48" eb="50">
      <t>ハイボク</t>
    </rPh>
    <rPh sb="56" eb="57">
      <t>ワナ</t>
    </rPh>
    <rPh sb="58" eb="60">
      <t>イチブ</t>
    </rPh>
    <rPh sb="67" eb="69">
      <t>ソウダイ</t>
    </rPh>
    <rPh sb="70" eb="71">
      <t>ワナ</t>
    </rPh>
    <rPh sb="79" eb="80">
      <t>イノチ</t>
    </rPh>
    <rPh sb="81" eb="82">
      <t>ウバ</t>
    </rPh>
    <rPh sb="97" eb="98">
      <t>イカ</t>
    </rPh>
    <rPh sb="100" eb="101">
      <t>タキ</t>
    </rPh>
    <rPh sb="102" eb="103">
      <t>ト</t>
    </rPh>
    <rPh sb="104" eb="105">
      <t>コ</t>
    </rPh>
    <rPh sb="111" eb="112">
      <t>マ</t>
    </rPh>
    <rPh sb="113" eb="114">
      <t>カマ</t>
    </rPh>
    <rPh sb="124" eb="126">
      <t>トッシン</t>
    </rPh>
    <phoneticPr fontId="11"/>
  </si>
  <si>
    <t>滝で待っているニューマンは見せかけだった。彼の能力か他のシャーマンの能力かは定かではない。重要なのはこれが罠ということもありうるということだ。カランはさらなる犠牲を避けるためにも次の行動について早く考えなければならない。まさにその時、岩のかげに隠れていた小さな子どもがカランに近づいてきて、ニューマンがどこにいるか伝えた。ニューマンが予言について言ったことを教えてくれた。</t>
    <rPh sb="0" eb="1">
      <t>タキ</t>
    </rPh>
    <rPh sb="2" eb="3">
      <t>マ</t>
    </rPh>
    <rPh sb="13" eb="14">
      <t>ミ</t>
    </rPh>
    <rPh sb="21" eb="22">
      <t>カレ</t>
    </rPh>
    <rPh sb="23" eb="25">
      <t>ノウリョク</t>
    </rPh>
    <rPh sb="26" eb="27">
      <t>ホカ</t>
    </rPh>
    <rPh sb="34" eb="36">
      <t>ノウリョク</t>
    </rPh>
    <rPh sb="38" eb="39">
      <t>サダ</t>
    </rPh>
    <rPh sb="45" eb="47">
      <t>ジュウヨウ</t>
    </rPh>
    <rPh sb="53" eb="54">
      <t>ワナ</t>
    </rPh>
    <rPh sb="79" eb="81">
      <t>ギセイ</t>
    </rPh>
    <rPh sb="82" eb="83">
      <t>サ</t>
    </rPh>
    <rPh sb="89" eb="90">
      <t>ツギ</t>
    </rPh>
    <rPh sb="91" eb="93">
      <t>コウドウ</t>
    </rPh>
    <rPh sb="97" eb="98">
      <t>ハヤ</t>
    </rPh>
    <rPh sb="99" eb="100">
      <t>カンガ</t>
    </rPh>
    <rPh sb="115" eb="116">
      <t>トキ</t>
    </rPh>
    <rPh sb="167" eb="169">
      <t>ヨゲン</t>
    </rPh>
    <rPh sb="173" eb="174">
      <t>イ</t>
    </rPh>
    <rPh sb="179" eb="180">
      <t>オシ</t>
    </rPh>
    <phoneticPr fontId="11"/>
  </si>
  <si>
    <t>カランは男の子が指す方向にニューマンの痕跡を見つけることができた。装備した戦力はない。ニューマンも、罠が失敗することを予測することはできなかったようだ。しかし、過去に起こったニュートラル族との戦闘のせいで、カランはこの地帯で最大の敵と見なされていた。</t>
    <rPh sb="4" eb="5">
      <t>オトコ</t>
    </rPh>
    <rPh sb="6" eb="7">
      <t>コ</t>
    </rPh>
    <rPh sb="8" eb="9">
      <t>サ</t>
    </rPh>
    <rPh sb="10" eb="12">
      <t>ホウコウ</t>
    </rPh>
    <rPh sb="19" eb="21">
      <t>コンセキ</t>
    </rPh>
    <rPh sb="22" eb="23">
      <t>ミ</t>
    </rPh>
    <rPh sb="33" eb="35">
      <t>ソウビ</t>
    </rPh>
    <rPh sb="37" eb="39">
      <t>センリョク</t>
    </rPh>
    <rPh sb="50" eb="51">
      <t>ワナ</t>
    </rPh>
    <rPh sb="52" eb="54">
      <t>シッパイ</t>
    </rPh>
    <rPh sb="59" eb="61">
      <t>ヨソク</t>
    </rPh>
    <rPh sb="80" eb="82">
      <t>カコ</t>
    </rPh>
    <rPh sb="83" eb="84">
      <t>オ</t>
    </rPh>
    <rPh sb="93" eb="94">
      <t>ゾク</t>
    </rPh>
    <rPh sb="96" eb="98">
      <t>セントウ</t>
    </rPh>
    <rPh sb="109" eb="111">
      <t>チタイ</t>
    </rPh>
    <rPh sb="112" eb="114">
      <t>サイダイ</t>
    </rPh>
    <rPh sb="115" eb="116">
      <t>テキ</t>
    </rPh>
    <rPh sb="117" eb="118">
      <t>ミ</t>
    </rPh>
    <phoneticPr fontId="11"/>
  </si>
  <si>
    <t>ニュートラル族との戦いは激しかった。しかしほとんどは、滝で会った子どもの証言により、カランに対して剣を収めた。カランが安心できたのは束の間だった。最後の戦闘で、兄弟と両親を失った者が率いる軍隊がカランの行く手を阻んだ。</t>
    <rPh sb="6" eb="7">
      <t>ゾク</t>
    </rPh>
    <rPh sb="9" eb="10">
      <t>タタカ</t>
    </rPh>
    <rPh sb="12" eb="13">
      <t>ハゲ</t>
    </rPh>
    <rPh sb="27" eb="28">
      <t>タキ</t>
    </rPh>
    <rPh sb="29" eb="30">
      <t>ア</t>
    </rPh>
    <rPh sb="32" eb="33">
      <t>コ</t>
    </rPh>
    <rPh sb="36" eb="38">
      <t>ショウゲン</t>
    </rPh>
    <rPh sb="46" eb="47">
      <t>タイ</t>
    </rPh>
    <rPh sb="49" eb="50">
      <t>ケン</t>
    </rPh>
    <rPh sb="51" eb="52">
      <t>オサ</t>
    </rPh>
    <rPh sb="59" eb="61">
      <t>アンシン</t>
    </rPh>
    <rPh sb="66" eb="67">
      <t>ツカ</t>
    </rPh>
    <rPh sb="68" eb="69">
      <t>マ</t>
    </rPh>
    <rPh sb="73" eb="75">
      <t>サイゴ</t>
    </rPh>
    <rPh sb="76" eb="78">
      <t>セントウ</t>
    </rPh>
    <rPh sb="80" eb="82">
      <t>キョウダイ</t>
    </rPh>
    <rPh sb="83" eb="85">
      <t>リョウシン</t>
    </rPh>
    <rPh sb="86" eb="87">
      <t>ウシナ</t>
    </rPh>
    <rPh sb="89" eb="90">
      <t>モノ</t>
    </rPh>
    <rPh sb="91" eb="92">
      <t>ヒキ</t>
    </rPh>
    <rPh sb="94" eb="96">
      <t>グンタイ</t>
    </rPh>
    <rPh sb="101" eb="102">
      <t>ユ</t>
    </rPh>
    <rPh sb="103" eb="104">
      <t>テ</t>
    </rPh>
    <rPh sb="105" eb="106">
      <t>ハバ</t>
    </rPh>
    <phoneticPr fontId="11"/>
  </si>
  <si>
    <t>カランは、ニューマンを止めるための戦闘であまりにも多くの命が奪われたと思った。しかしそれはほんの一瞬のことだった。アダンから送られた密使が悪い知らせを持って帰ってきた。ニューマンが伝説の悪魔を生き返らせようとしているというのだ。アダンはその話を信じることができなかった。しかし知らせを聞くとすぐに、カランは軍に進軍の命令を下した。</t>
    <rPh sb="11" eb="12">
      <t>ト</t>
    </rPh>
    <rPh sb="17" eb="19">
      <t>セントウ</t>
    </rPh>
    <rPh sb="25" eb="26">
      <t>オオ</t>
    </rPh>
    <rPh sb="28" eb="29">
      <t>イノチ</t>
    </rPh>
    <rPh sb="30" eb="31">
      <t>ウバ</t>
    </rPh>
    <rPh sb="35" eb="36">
      <t>オモ</t>
    </rPh>
    <rPh sb="48" eb="50">
      <t>イッシュン</t>
    </rPh>
    <rPh sb="62" eb="63">
      <t>オク</t>
    </rPh>
    <rPh sb="66" eb="68">
      <t>ミッシ</t>
    </rPh>
    <rPh sb="69" eb="70">
      <t>ワル</t>
    </rPh>
    <rPh sb="71" eb="72">
      <t>シ</t>
    </rPh>
    <rPh sb="75" eb="76">
      <t>モ</t>
    </rPh>
    <rPh sb="78" eb="79">
      <t>カエ</t>
    </rPh>
    <rPh sb="90" eb="92">
      <t>デンセツ</t>
    </rPh>
    <rPh sb="93" eb="95">
      <t>アクマ</t>
    </rPh>
    <rPh sb="96" eb="97">
      <t>イ</t>
    </rPh>
    <rPh sb="98" eb="99">
      <t>カエ</t>
    </rPh>
    <rPh sb="120" eb="121">
      <t>ハナシ</t>
    </rPh>
    <rPh sb="122" eb="123">
      <t>シン</t>
    </rPh>
    <rPh sb="138" eb="139">
      <t>シ</t>
    </rPh>
    <rPh sb="142" eb="143">
      <t>キ</t>
    </rPh>
    <rPh sb="153" eb="154">
      <t>グン</t>
    </rPh>
    <rPh sb="155" eb="157">
      <t>シングン</t>
    </rPh>
    <rPh sb="158" eb="160">
      <t>メイレイ</t>
    </rPh>
    <rPh sb="161" eb="162">
      <t>クダ</t>
    </rPh>
    <phoneticPr fontId="11"/>
  </si>
  <si>
    <t>カランはアダンに真実を話した。人間たちに伝えられた悪魔に関する寓話はすべて本当だ。1千年前に悪魔を封じた女神の傍らに、人間と、オーク、エルベスの勇者たちがいたのだ。しかしその戦闘で、4人のうち2人の女神が消滅した。1千年の後、悪魔はもうすぐ生き返る。しかしまだ３年ある。人間とエルフは、悪魔にダメージを与えることができる武器を作るために、不死身の女神の武器を使うことにした。その間、オークは悪魔の封印された場所を守ると約束した。そしてからんは、ニューマンがそこを目指していると確信していた。</t>
    <rPh sb="8" eb="10">
      <t>シンジツ</t>
    </rPh>
    <rPh sb="11" eb="12">
      <t>ハナ</t>
    </rPh>
    <rPh sb="15" eb="17">
      <t>ニンゲン</t>
    </rPh>
    <rPh sb="20" eb="21">
      <t>ツタ</t>
    </rPh>
    <rPh sb="25" eb="27">
      <t>アクマ</t>
    </rPh>
    <rPh sb="28" eb="29">
      <t>カン</t>
    </rPh>
    <rPh sb="31" eb="33">
      <t>グウワ</t>
    </rPh>
    <rPh sb="37" eb="39">
      <t>ホントウ</t>
    </rPh>
    <rPh sb="42" eb="44">
      <t>センネン</t>
    </rPh>
    <rPh sb="44" eb="45">
      <t>マエ</t>
    </rPh>
    <rPh sb="46" eb="48">
      <t>アクマ</t>
    </rPh>
    <rPh sb="49" eb="50">
      <t>フウ</t>
    </rPh>
    <rPh sb="52" eb="54">
      <t>メガミ</t>
    </rPh>
    <rPh sb="55" eb="56">
      <t>カタワ</t>
    </rPh>
    <rPh sb="59" eb="61">
      <t>ニンゲン</t>
    </rPh>
    <rPh sb="72" eb="74">
      <t>ユウシャ</t>
    </rPh>
    <rPh sb="87" eb="89">
      <t>セントウ</t>
    </rPh>
    <rPh sb="92" eb="93">
      <t>ニン</t>
    </rPh>
    <rPh sb="97" eb="98">
      <t>ニン</t>
    </rPh>
    <rPh sb="99" eb="101">
      <t>メガミ</t>
    </rPh>
    <rPh sb="102" eb="104">
      <t>ショウメツ</t>
    </rPh>
    <rPh sb="108" eb="110">
      <t>センネン</t>
    </rPh>
    <rPh sb="111" eb="112">
      <t>ノチ</t>
    </rPh>
    <rPh sb="113" eb="115">
      <t>アクマ</t>
    </rPh>
    <rPh sb="120" eb="121">
      <t>イ</t>
    </rPh>
    <rPh sb="122" eb="123">
      <t>カエ</t>
    </rPh>
    <rPh sb="130" eb="132">
      <t>サンネン</t>
    </rPh>
    <rPh sb="135" eb="137">
      <t>ニンゲン</t>
    </rPh>
    <rPh sb="143" eb="145">
      <t>アクマ</t>
    </rPh>
    <rPh sb="151" eb="152">
      <t>アタ</t>
    </rPh>
    <rPh sb="160" eb="162">
      <t>ブキ</t>
    </rPh>
    <rPh sb="163" eb="164">
      <t>ツク</t>
    </rPh>
    <rPh sb="169" eb="172">
      <t>フジミ</t>
    </rPh>
    <rPh sb="173" eb="175">
      <t>メガミ</t>
    </rPh>
    <rPh sb="176" eb="178">
      <t>ブキ</t>
    </rPh>
    <rPh sb="179" eb="180">
      <t>ツカ</t>
    </rPh>
    <rPh sb="189" eb="190">
      <t>アイダ</t>
    </rPh>
    <rPh sb="195" eb="197">
      <t>アクマ</t>
    </rPh>
    <rPh sb="198" eb="200">
      <t>フウイン</t>
    </rPh>
    <rPh sb="203" eb="205">
      <t>バショ</t>
    </rPh>
    <rPh sb="206" eb="207">
      <t>マモ</t>
    </rPh>
    <rPh sb="209" eb="211">
      <t>ヤクソク</t>
    </rPh>
    <rPh sb="231" eb="233">
      <t>メザ</t>
    </rPh>
    <rPh sb="238" eb="240">
      <t>カクシン</t>
    </rPh>
    <phoneticPr fontId="11"/>
  </si>
  <si>
    <t>封印された悪魔の影響で激怒したオークと戦った後、カランは祭壇でニューマンと会うことができた。人間とエルベスは１千年前の約束を覚えているかもしれないが、カランはオークスの定めをあきらめることはできなかった。事実、カランは悪魔のストーリーが本当だとは思えなかった。しかしカランは。ニューマンをその目の前で止めなければならなかった。さらなる間違いをおかす前に。</t>
    <rPh sb="0" eb="2">
      <t>フウイン</t>
    </rPh>
    <rPh sb="5" eb="7">
      <t>アクマ</t>
    </rPh>
    <rPh sb="8" eb="10">
      <t>エイキョウ</t>
    </rPh>
    <rPh sb="11" eb="13">
      <t>ゲキド</t>
    </rPh>
    <rPh sb="19" eb="20">
      <t>タタカ</t>
    </rPh>
    <rPh sb="22" eb="23">
      <t>アト</t>
    </rPh>
    <rPh sb="28" eb="30">
      <t>サイダン</t>
    </rPh>
    <rPh sb="37" eb="38">
      <t>ア</t>
    </rPh>
    <rPh sb="46" eb="48">
      <t>ニンゲン</t>
    </rPh>
    <rPh sb="55" eb="57">
      <t>センネン</t>
    </rPh>
    <rPh sb="57" eb="58">
      <t>マエ</t>
    </rPh>
    <rPh sb="59" eb="61">
      <t>ヤクソク</t>
    </rPh>
    <rPh sb="62" eb="63">
      <t>オボ</t>
    </rPh>
    <rPh sb="84" eb="85">
      <t>サダ</t>
    </rPh>
    <rPh sb="102" eb="104">
      <t>ジジツ</t>
    </rPh>
    <rPh sb="109" eb="111">
      <t>アクマ</t>
    </rPh>
    <rPh sb="118" eb="120">
      <t>ホントウ</t>
    </rPh>
    <rPh sb="123" eb="124">
      <t>オモ</t>
    </rPh>
    <rPh sb="146" eb="147">
      <t>メ</t>
    </rPh>
    <rPh sb="148" eb="149">
      <t>マエ</t>
    </rPh>
    <rPh sb="150" eb="151">
      <t>ト</t>
    </rPh>
    <rPh sb="167" eb="169">
      <t>マチガ</t>
    </rPh>
    <rPh sb="174" eb="175">
      <t>マエ</t>
    </rPh>
    <phoneticPr fontId="11"/>
  </si>
  <si>
    <t>オークスは好戦的な種族である。しかし彼らはとても人間に似ている。時々、オークスはなぜ物を食べたり嗅いだりするのかについて質問をする。それは、彼らがエゴを持っていることを意味する。人間と同じように、絵画や彫刻のような芸術活動もする。しかし、彼らが質問しないことが一つだけある。なぜそれをするのか。オークスの歴史上だれも、なぜ戦わなければならないのか質問することはなかった。彼らは動物のように戦う。それが自然のふるまいであるかのように。だからいつものように、オークスは翌日に起こる戦闘について考えるるとわくわくした。しかしすでに人間の歴史の中でじぃｋ</t>
    <rPh sb="5" eb="8">
      <t>コウセンテキ</t>
    </rPh>
    <rPh sb="9" eb="11">
      <t>シュゾク</t>
    </rPh>
    <rPh sb="18" eb="19">
      <t>カレ</t>
    </rPh>
    <rPh sb="24" eb="26">
      <t>ニンゲン</t>
    </rPh>
    <rPh sb="27" eb="28">
      <t>ニ</t>
    </rPh>
    <rPh sb="32" eb="34">
      <t>トキドキ</t>
    </rPh>
    <rPh sb="42" eb="43">
      <t>モノ</t>
    </rPh>
    <rPh sb="44" eb="45">
      <t>タ</t>
    </rPh>
    <rPh sb="48" eb="49">
      <t>カ</t>
    </rPh>
    <rPh sb="60" eb="62">
      <t>シツモン</t>
    </rPh>
    <rPh sb="70" eb="71">
      <t>カレ</t>
    </rPh>
    <rPh sb="76" eb="77">
      <t>モ</t>
    </rPh>
    <rPh sb="84" eb="86">
      <t>イミ</t>
    </rPh>
    <rPh sb="89" eb="91">
      <t>ニンゲン</t>
    </rPh>
    <rPh sb="92" eb="93">
      <t>オナ</t>
    </rPh>
    <rPh sb="98" eb="100">
      <t>カイガ</t>
    </rPh>
    <rPh sb="101" eb="103">
      <t>チョウコク</t>
    </rPh>
    <rPh sb="107" eb="109">
      <t>ゲイジュツ</t>
    </rPh>
    <rPh sb="109" eb="111">
      <t>カツドウ</t>
    </rPh>
    <rPh sb="119" eb="120">
      <t>カレ</t>
    </rPh>
    <rPh sb="122" eb="124">
      <t>シツモン</t>
    </rPh>
    <rPh sb="130" eb="131">
      <t>ヒト</t>
    </rPh>
    <rPh sb="152" eb="154">
      <t>レキシ</t>
    </rPh>
    <rPh sb="154" eb="155">
      <t>ジョウ</t>
    </rPh>
    <rPh sb="161" eb="162">
      <t>タタカ</t>
    </rPh>
    <rPh sb="173" eb="175">
      <t>シツモン</t>
    </rPh>
    <rPh sb="185" eb="186">
      <t>カレ</t>
    </rPh>
    <rPh sb="188" eb="190">
      <t>ドウブツ</t>
    </rPh>
    <rPh sb="194" eb="195">
      <t>タタカ</t>
    </rPh>
    <rPh sb="200" eb="202">
      <t>シゼン</t>
    </rPh>
    <rPh sb="232" eb="234">
      <t>ヨクジツ</t>
    </rPh>
    <rPh sb="235" eb="236">
      <t>オ</t>
    </rPh>
    <rPh sb="238" eb="240">
      <t>セントウ</t>
    </rPh>
    <rPh sb="244" eb="245">
      <t>カンガ</t>
    </rPh>
    <rPh sb="262" eb="264">
      <t>ニンゲン</t>
    </rPh>
    <rPh sb="265" eb="267">
      <t>レキシ</t>
    </rPh>
    <rPh sb="268" eb="269">
      <t>ナカ</t>
    </rPh>
    <phoneticPr fontId="11"/>
  </si>
  <si>
    <t>オークスは、ヒューマンとの最後の戦いでひどくダメージを受けた。オークスの長であるカランは、すべての部隊を集結するよう命じた。今こそ、かつてない大きな戦いに臨む時だ。しかし待て！誰だ！怪しいマスクをつけた者が恐ろし気に笑いながら登場する。アダンは彼に気づくまで数秒かかった。それはラミントンだ。オークの女と付き合った廉で軍隊から追われた伝説の勇士だ。彼は生きていた。アダンの目の前に立っている。この勇士の信奉者であるアダンは、たくさん聞きたいことがある。なぜここにいるのか？ここで何をしているのか？なぜそんな怪しいマスクをしているのか？</t>
    <rPh sb="13" eb="15">
      <t>サイゴ</t>
    </rPh>
    <rPh sb="16" eb="17">
      <t>タタカ</t>
    </rPh>
    <rPh sb="27" eb="28">
      <t>ウ</t>
    </rPh>
    <rPh sb="36" eb="37">
      <t>チョウ</t>
    </rPh>
    <rPh sb="49" eb="51">
      <t>ブタイ</t>
    </rPh>
    <rPh sb="52" eb="54">
      <t>シュウケツ</t>
    </rPh>
    <rPh sb="58" eb="59">
      <t>メイ</t>
    </rPh>
    <rPh sb="62" eb="63">
      <t>イマ</t>
    </rPh>
    <rPh sb="71" eb="72">
      <t>オオ</t>
    </rPh>
    <rPh sb="74" eb="75">
      <t>タタカ</t>
    </rPh>
    <rPh sb="77" eb="78">
      <t>ノゾ</t>
    </rPh>
    <rPh sb="79" eb="80">
      <t>トキ</t>
    </rPh>
    <rPh sb="85" eb="86">
      <t>マ</t>
    </rPh>
    <rPh sb="88" eb="89">
      <t>ダレ</t>
    </rPh>
    <rPh sb="91" eb="92">
      <t>アヤ</t>
    </rPh>
    <rPh sb="101" eb="102">
      <t>モノ</t>
    </rPh>
    <rPh sb="103" eb="104">
      <t>オソ</t>
    </rPh>
    <rPh sb="106" eb="107">
      <t>ゲ</t>
    </rPh>
    <rPh sb="108" eb="109">
      <t>ワラ</t>
    </rPh>
    <rPh sb="113" eb="115">
      <t>トウジョウ</t>
    </rPh>
    <rPh sb="122" eb="123">
      <t>カレ</t>
    </rPh>
    <rPh sb="124" eb="125">
      <t>キ</t>
    </rPh>
    <rPh sb="129" eb="131">
      <t>スウビョウ</t>
    </rPh>
    <rPh sb="150" eb="151">
      <t>オンナ</t>
    </rPh>
    <rPh sb="152" eb="153">
      <t>ツ</t>
    </rPh>
    <rPh sb="154" eb="155">
      <t>ア</t>
    </rPh>
    <rPh sb="157" eb="158">
      <t>カド</t>
    </rPh>
    <rPh sb="159" eb="161">
      <t>グンタイ</t>
    </rPh>
    <rPh sb="163" eb="164">
      <t>オ</t>
    </rPh>
    <rPh sb="167" eb="169">
      <t>デンセツ</t>
    </rPh>
    <rPh sb="170" eb="172">
      <t>ユウシ</t>
    </rPh>
    <rPh sb="174" eb="175">
      <t>カレ</t>
    </rPh>
    <rPh sb="176" eb="177">
      <t>イ</t>
    </rPh>
    <rPh sb="186" eb="187">
      <t>メ</t>
    </rPh>
    <rPh sb="188" eb="189">
      <t>マエ</t>
    </rPh>
    <rPh sb="190" eb="191">
      <t>タ</t>
    </rPh>
    <rPh sb="198" eb="200">
      <t>ユウシ</t>
    </rPh>
    <rPh sb="201" eb="204">
      <t>シンポウシャ</t>
    </rPh>
    <rPh sb="216" eb="217">
      <t>キ</t>
    </rPh>
    <rPh sb="239" eb="240">
      <t>ナニ</t>
    </rPh>
    <rPh sb="253" eb="254">
      <t>アヤ</t>
    </rPh>
    <phoneticPr fontId="11"/>
  </si>
  <si>
    <t>ラミントンはだましていない。彼は本当に優れた武器を持っている。そして最初の目標はオークスである。オークスはとても好戦的で決して退かない。しかしこの時は様子が違っている。オークスは恐れている。戦場で恐れているのではない。霊やゾンビに対してひどく恐れるのだ。その時、アダンは、ヒューマンはラミントンの軍を撃退できないと悟った。ヒューマンはオークスとの同盟を解消しなければならない。彼はオークスを嫌っているが、ゾンビをもっとも憎んでいる。</t>
  </si>
  <si>
    <t>ゾンビの大群の脅威はなくなった。ヒューマンとオークは再び戦闘を始めた。しかし以前とは少し違っている。オークの長であるカランは、ヒューマンは悪童だと思っている。なぜなら彼らは自然を破壊するから。しかしそのことを自分たちが気づいていないことに彼は驚いた。そこで、彼は、ヒューマンは悪いだけでなく愚かなのだと思い始める。</t>
  </si>
  <si>
    <t>カランは夜明けの時を散歩していた。歩いていると、何人かのオークが怪しい行動をしているのを見つけた。何人かがカランを見て驚いたようだ。そして何人かは木の後ろに隠れていた。オークを捕らえるヒューマンの部隊に似ていた。ついに彼は、オークが他のオークを襲っているのを目撃した。カランは目の前で起こっていることに激高した。そして彼は、自分のファミリーを襲うオークを殺すと決めた。</t>
  </si>
  <si>
    <t>やあ、小さな天使。グラニーは深い眠りの国へ導くとても面白い話がある。昔、ヒューマンとオークは戦争をした。両者はかねてからずっと戦ってきた。それぞれが、自分の親が戦っていたから戦ったのだ。それからある日！急に！彼らは友だちになった。どうやって？それは北東に大きな脅威があったからだ。しかし、そこへ着く前に、どのように農場とバラックを造るか知る必要がある。それから、ソードマンをしつける方法を学ぶ必要がある。用意はいいか。良さそうだ。グラニースイーティーといっしょに掘り起こそう。</t>
  </si>
  <si>
    <t>オークが素早く対抗したため、アダンの勝利は続かなかった。他のオークが戦地に到着するのに数時間しかかからなかった。何百ものオークに勝つことは不可能だった。壮大な戦いの後で、アダンには十数人のソードマンと射手しかなかった。しかし、アダンにとって幸運なことに、オークは激しく怒っていた。彼らは他の部隊を待たなかった。到着するなり攻撃した。そのためアダンは一度に数百のオークと戦う必要がない。一度に数人のオークと百回戦うことになる。しかしそれはたやすいことではない。オークはとても強い。アダンはもう一つの策が必要だ。そして、アダンは、最善の防御は攻撃だと分かる。オークは、ヒューマンが彼らの基地で防衛しているとの知らせを受ける。しかしヒューマンは進行している。戦いに勝つのはだれだと思う？</t>
  </si>
  <si>
    <t>そしてアダンはオークの部隊を救った。彼らは互いに嫌っている。しかし今は違う。今、彼らには共通の敵がいる。私の敵の敵は私の友だちということわざがある。ゾンビの脅威がなくなるまで、すべての戦力をゾンビを殺すことに集中しようと決めた。すべては約束が守られているように見える。しかしそうではなかった。次に何が起こるのか分からない。彼は誰だ？見つけ出そう。</t>
  </si>
  <si>
    <t>オークの部隊の一人が偶然、ラミントンが隠れ家のような家に這いいるのを目撃した。やつの家を見つけたのか？それは本当にラミントンの家なのか？それは問題ではない。やつを捕らえれば戦いは終わる。ためらう理由はどこにもない。アダンは優秀な者を集め、その地帯に侵入させた。</t>
  </si>
  <si>
    <t>彼らが侵入した場所は罠だった。それは罠だ！ゾンビの群れが待ち構えている。脱出する道は無いようだ。もうダメかとあきらめる直前、小さな光を見た。神は見捨てていなかった。罠は、彼らがよく知っている森の中にある。それは驚くべきことだった。ゾンビは動きを止めた。なぜなら退路を見つけられるほど賢くないからだ。命をつなぐ最後のチャンスである。</t>
  </si>
  <si>
    <t>ヒューマンは厳しい罠をかいくぐり、生還した。しかし次に何が起こるのか誰に分かる？予測できない状況が彼らを待っている。オークはたがいを殺し合っている。アダンは驚愕した。戦場から飛んできた斧がアダンに向かっている！斧がアダンの頭に当たる直前、誰かが斧を叩き落とし、彼の命を救った。それはカランだった。オークに何が起こったのか？それは反逆だった。オークの中にはゾンビよりもヒューマンを憎んでいる。アダンには反逆の鎮圧を援護する意外道はない。</t>
  </si>
  <si>
    <t>オークの反逆は、ヒューマンの半分で終わる。しかし、誰にも何が起こるか分からない。ここで、ヒューマンの軍隊に問題が起こる。ある密告者がラミントンを助けている。なぜか？オークとヒューマンが同盟することを嫌がったからだ。彼は激怒し、そのためラミントンがオークをヒューマンを地上から消す手助けをすると決めたのだ。馬鹿げた話ではないか？</t>
  </si>
  <si>
    <t>今や、戦闘に途切れはない。ゾンビ対ヒューマンとオークだ。まず、ゾンビは絶えずやって来る。地下からどんどん上がってくる。それは終わりがないが、ゾンビの巣がある。巣が無ければ死体を感染し続けることができない。そしてそれはアダンの軍隊の目の前だ。簡単には行かないだろう。しかしアダンが立ち向かわなければならないことだ。</t>
  </si>
  <si>
    <t>ゾンビの巣はなくなった。新しいゾンビはもう生まれない。残ったゾンビを倒すことで世界を救えるだろう。そしておそらく、ヒューマンとオークの戦いが始まることになる。しかしアダンは、オークがこの戦いの後に変わったのではないかと思っている。今そうしているように、平和に暮らすことができるのではないか。アダンは戦いのない世界のことを考えながら微笑みを浮かべてゾンビの方へ走っている。しかしこの戦いのあとに史上最大の戦争が終わる。誰にも次に何が起こるか分からない。</t>
  </si>
  <si>
    <t>カランは、何かがおかしいと気づいたとき、新しい開拓地を探していた。ヒューマンの労働者はオークの本部に材木を運び込んでいる。それは不可能だった。なぜならオークにはヒューマンを奴隷にしないという規則があるからだ。囚われたヒューマンは殺されるか解放されるかのどちらかだった。何が起こっているのか？</t>
  </si>
  <si>
    <t>オークが同族を攻撃している事実から彼が平静を取り戻す前に、おかしなヒューマンが彼に近づいてきた。名前はジャスティン。彼は、森を破壊するヒューマンを憎むヒューマンたちがいると言った。彼はカランに、悪いヒューマンと戦うジャスティンの軍隊を支援するよう頼んだ。しかしカランは信じなかった。そして彼を追い出した。</t>
  </si>
  <si>
    <t>ゾンビの群れの脅威は消え去った。しかしそれは、すべてのゾンビが殺されたという意味ではない。それは不可能だ。そしてカランはそれらのゾンビとも戦わなければならない。どうすればいいかは分かっている。</t>
  </si>
  <si>
    <t>怪しいオークとおかしなヒューマンは巨大な同盟を結ぼうとしているようだった。何か共通するところがあるのだ。両者はネイチャーを凌駕したいと思っている。そして倒すことは簡単ではない。</t>
  </si>
  <si>
    <t>ヒーロー＞待て！（叫び）</t>
  </si>
  <si>
    <t>オーク＞オーオーオーオーオーオー（叫び）</t>
  </si>
  <si>
    <t>オーク＞彼は死んだ。ゾンビは死んだ。次はヒューマンだ！</t>
  </si>
  <si>
    <t>ヒーロー＞彼は去った！</t>
  </si>
  <si>
    <t>反乱軍に追われたカランは、逃亡者になった。しかしカランはまだ、多くのオークからヒーローと見なされている。カランを支持したオークたちは彼の軍隊に入りたいはずだが、そのようなオークを探すのは難しいことではない。カランはオークたちと軍隊を立て直し始めた。</t>
  </si>
  <si>
    <t>オークの反逆軍は、ヒューマンの一部と同盟し、打ち倒すのは容易くなかった。ジャスティンが再び、いさかいのあったカランの前に現れた。それはヒューマンの主要部隊で、小さな戦力ではない。そしてその軍隊とオークの反逆軍を統制するのは簡単なことではない。再び、ジャスティンは、カランに協力を申し入れた。そしてカランは断ることはできなかった。</t>
  </si>
  <si>
    <t>ジャスティンはカランに、まず資源を確保するように言った。そして部隊を集めたら、半分を前哨地へ送った。それは最大級の戦闘として認識した。ヒューマンの主戦力が投入される。あとの半分にはヒューマンの城を攻撃するように命じた。ヒューマンの軍が蹴散らされている間に、ジャスティンは王を捕らえ、権力を奪う。オークの反逆軍を支援したヒューマンの兵士たちも、政権が変わったらジャスティンの軍に入り、オークの反逆軍を制圧する助けをすると約束した。</t>
  </si>
  <si>
    <t>ある日、一人のヒューマンの兵士がカランのところへやってきた。彼は、ジャスティンがカランを騙しているといった。カランがジャスティンが政権を取るのを手伝った後、ジャスティンはオークが反逆者を制圧するのを助けないだろうと言った。これを聞いた後、カランは怒り、全軍に進行するよう命じた。</t>
  </si>
  <si>
    <t>よし。グランドをタッチしてユニットをムーブにせよ。</t>
  </si>
  <si>
    <t>よし。金を取ることができる。金脈を探し、選んだワーカーを金脈に送れ。金脈はこのような形だ。迷ったら、ワーカーを選択し、金脈を選択する。それだけでよい。</t>
  </si>
  <si>
    <t>スウィーティー。ようこそバトルフィールドへ。戦闘のやり方を説明する。ワーカーを選ぶ。このトークボックスの左側を見よ。ワーカーはこれだ。一人を選べ。</t>
  </si>
  <si>
    <t>画面を移動するには２本の指を使う。</t>
  </si>
  <si>
    <t>オークにはゴブリンという種族がいる。ゴブリンは、平和条約に従ってオークとの同盟に入った。しかし戦闘能力のないゴブリンは、オークに労働力を提供しなければならなかった。これに不満のゴブリンニューマンは、本格的なピープルとの同盟を結びこの合意を取り消し彼を追放した。そしてこのうその情報により、カランとジャスティンを取り込む計画は失敗し、全面的な戦争となる。</t>
    <rPh sb="24" eb="26">
      <t>ヘイワ</t>
    </rPh>
    <rPh sb="26" eb="28">
      <t>ジョウヤク</t>
    </rPh>
    <rPh sb="29" eb="30">
      <t>シタガ</t>
    </rPh>
    <rPh sb="37" eb="39">
      <t>ドウメイ</t>
    </rPh>
    <rPh sb="40" eb="41">
      <t>ハイ</t>
    </rPh>
    <rPh sb="47" eb="49">
      <t>セントウ</t>
    </rPh>
    <rPh sb="49" eb="51">
      <t>ノウリョク</t>
    </rPh>
    <rPh sb="64" eb="67">
      <t>ロウドウリョク</t>
    </rPh>
    <rPh sb="68" eb="70">
      <t>テイキョウ</t>
    </rPh>
    <rPh sb="85" eb="87">
      <t>フマン</t>
    </rPh>
    <rPh sb="99" eb="102">
      <t>ホンカクテキ</t>
    </rPh>
    <rPh sb="109" eb="111">
      <t>ドウメイ</t>
    </rPh>
    <rPh sb="112" eb="113">
      <t>ムス</t>
    </rPh>
    <rPh sb="116" eb="118">
      <t>ゴウイ</t>
    </rPh>
    <rPh sb="119" eb="120">
      <t>ト</t>
    </rPh>
    <rPh sb="121" eb="122">
      <t>ケ</t>
    </rPh>
    <rPh sb="123" eb="124">
      <t>カレ</t>
    </rPh>
    <rPh sb="125" eb="127">
      <t>ツイホウ</t>
    </rPh>
    <rPh sb="138" eb="140">
      <t>ジョウホウ</t>
    </rPh>
    <rPh sb="155" eb="156">
      <t>ト</t>
    </rPh>
    <rPh sb="157" eb="158">
      <t>コ</t>
    </rPh>
    <rPh sb="159" eb="161">
      <t>ケイカク</t>
    </rPh>
    <rPh sb="162" eb="164">
      <t>シッパイ</t>
    </rPh>
    <rPh sb="166" eb="169">
      <t>ゼンメンテキ</t>
    </rPh>
    <rPh sb="170" eb="172">
      <t>センソウ</t>
    </rPh>
    <phoneticPr fontId="11"/>
  </si>
  <si>
    <t>おお、友よ。これは得意なはずだ。よし。さあ、ワーカーを木へ送れ。ワーカーは木材を集めることもできる。タッチした木の上の斧のアイコンをチェックせよ。ワーカーが木の下で休んでいるのを見つける時に邪魔になる。</t>
    <rPh sb="3" eb="4">
      <t>トモ</t>
    </rPh>
    <rPh sb="9" eb="11">
      <t>トクイ</t>
    </rPh>
    <rPh sb="27" eb="28">
      <t>キ</t>
    </rPh>
    <rPh sb="29" eb="30">
      <t>オク</t>
    </rPh>
    <rPh sb="37" eb="39">
      <t>モクザイ</t>
    </rPh>
    <rPh sb="40" eb="41">
      <t>アツ</t>
    </rPh>
    <rPh sb="55" eb="56">
      <t>キ</t>
    </rPh>
    <rPh sb="57" eb="58">
      <t>ウエ</t>
    </rPh>
    <rPh sb="59" eb="60">
      <t>オノ</t>
    </rPh>
    <rPh sb="78" eb="79">
      <t>キ</t>
    </rPh>
    <rPh sb="80" eb="81">
      <t>シタ</t>
    </rPh>
    <rPh sb="82" eb="83">
      <t>ヤス</t>
    </rPh>
    <rPh sb="89" eb="90">
      <t>ミ</t>
    </rPh>
    <rPh sb="93" eb="94">
      <t>トキ</t>
    </rPh>
    <rPh sb="95" eb="97">
      <t>ジャマ</t>
    </rPh>
    <phoneticPr fontId="11"/>
  </si>
  <si>
    <t>よーーーし。さあ、農場を作ってみよう。人は食べていかねばならない。農場を多く持てば、人々は食べることができる。ワーカーを選択し、建物アイコンを選択する。</t>
    <rPh sb="9" eb="11">
      <t>ノウジョウ</t>
    </rPh>
    <rPh sb="12" eb="13">
      <t>ツク</t>
    </rPh>
    <rPh sb="19" eb="20">
      <t>ヒト</t>
    </rPh>
    <rPh sb="21" eb="22">
      <t>タ</t>
    </rPh>
    <rPh sb="33" eb="35">
      <t>ノウジョウ</t>
    </rPh>
    <rPh sb="36" eb="37">
      <t>オオ</t>
    </rPh>
    <rPh sb="38" eb="39">
      <t>モ</t>
    </rPh>
    <rPh sb="42" eb="44">
      <t>ヒトビト</t>
    </rPh>
    <rPh sb="45" eb="46">
      <t>タ</t>
    </rPh>
    <rPh sb="60" eb="62">
      <t>センタク</t>
    </rPh>
    <rPh sb="64" eb="66">
      <t>タテモノ</t>
    </rPh>
    <rPh sb="71" eb="73">
      <t>センタク</t>
    </rPh>
    <phoneticPr fontId="11"/>
  </si>
  <si>
    <t>農場を選択する。左を見よ。農場はこれだ。作ってみよう。</t>
    <rPh sb="0" eb="2">
      <t>ノウジョウ</t>
    </rPh>
    <rPh sb="3" eb="5">
      <t>センタク</t>
    </rPh>
    <rPh sb="8" eb="9">
      <t>ヒダリ</t>
    </rPh>
    <rPh sb="10" eb="11">
      <t>ミ</t>
    </rPh>
    <rPh sb="13" eb="15">
      <t>ノウジョウ</t>
    </rPh>
    <rPh sb="20" eb="21">
      <t>ツク</t>
    </rPh>
    <phoneticPr fontId="11"/>
  </si>
  <si>
    <t>それでいい。兵舎を作ってみないか。ソードマンと射手を兵舎で指導することができる。これを作ってみよう。左にある建物が見えるか？</t>
    <rPh sb="6" eb="8">
      <t>ヘイシャ</t>
    </rPh>
    <rPh sb="9" eb="10">
      <t>ツク</t>
    </rPh>
    <rPh sb="23" eb="25">
      <t>イテ</t>
    </rPh>
    <rPh sb="26" eb="28">
      <t>ヘイシャ</t>
    </rPh>
    <rPh sb="29" eb="31">
      <t>シドウ</t>
    </rPh>
    <rPh sb="43" eb="44">
      <t>ツク</t>
    </rPh>
    <rPh sb="50" eb="51">
      <t>ヒダリ</t>
    </rPh>
    <rPh sb="54" eb="56">
      <t>タテモノ</t>
    </rPh>
    <rPh sb="57" eb="58">
      <t>ミ</t>
    </rPh>
    <phoneticPr fontId="11"/>
  </si>
  <si>
    <t>完璧だ！ソードマンを訓練しよう。建てた兵舎を選択する。訓練するソードマンを選択する。</t>
    <rPh sb="0" eb="2">
      <t>カンペキ</t>
    </rPh>
    <rPh sb="10" eb="12">
      <t>クンレン</t>
    </rPh>
    <rPh sb="16" eb="17">
      <t>タ</t>
    </rPh>
    <rPh sb="19" eb="21">
      <t>ヘイシャ</t>
    </rPh>
    <rPh sb="22" eb="24">
      <t>センタク</t>
    </rPh>
    <rPh sb="27" eb="29">
      <t>クンレン</t>
    </rPh>
    <rPh sb="37" eb="39">
      <t>センタク</t>
    </rPh>
    <phoneticPr fontId="11"/>
  </si>
  <si>
    <t>素晴らしい！君はすーばらしい才能がある。ここで、最後に教えることがある。複数のアイテムを選ぶにはスワイプする。</t>
    <rPh sb="0" eb="2">
      <t>スバ</t>
    </rPh>
    <rPh sb="6" eb="7">
      <t>キミ</t>
    </rPh>
    <rPh sb="14" eb="16">
      <t>サイノウ</t>
    </rPh>
    <rPh sb="24" eb="26">
      <t>サイゴ</t>
    </rPh>
    <rPh sb="27" eb="28">
      <t>オシ</t>
    </rPh>
    <rPh sb="36" eb="38">
      <t>フクスウ</t>
    </rPh>
    <rPh sb="44" eb="45">
      <t>エラ</t>
    </rPh>
    <phoneticPr fontId="11"/>
  </si>
  <si>
    <t>よし。ダブルクリックでアイテムを動かしたり攻撃させたりできる。</t>
    <rPh sb="16" eb="17">
      <t>ウゴ</t>
    </rPh>
    <rPh sb="21" eb="23">
      <t>コウゲキ</t>
    </rPh>
    <phoneticPr fontId="11"/>
  </si>
  <si>
    <t>素晴らしい。これ以上言葉はいらない。得たもので何ができるか見てみよう。アイテムは画面の左上にある。うまくやれよ。愛しい友よ。</t>
    <rPh sb="0" eb="2">
      <t>スバ</t>
    </rPh>
    <rPh sb="8" eb="10">
      <t>イジョウ</t>
    </rPh>
    <rPh sb="10" eb="12">
      <t>コトバ</t>
    </rPh>
    <rPh sb="18" eb="19">
      <t>エ</t>
    </rPh>
    <rPh sb="23" eb="24">
      <t>ナニ</t>
    </rPh>
    <rPh sb="29" eb="30">
      <t>ミ</t>
    </rPh>
    <rPh sb="40" eb="42">
      <t>ガメン</t>
    </rPh>
    <rPh sb="43" eb="45">
      <t>ヒダリウエ</t>
    </rPh>
    <rPh sb="56" eb="57">
      <t>イト</t>
    </rPh>
    <rPh sb="59" eb="60">
      <t>トモ</t>
    </rPh>
    <phoneticPr fontId="11"/>
  </si>
  <si>
    <t>ヒーロー＞今日一日まっていたことは分かっている。</t>
    <rPh sb="5" eb="7">
      <t>キョウ</t>
    </rPh>
    <rPh sb="7" eb="9">
      <t>イチニチ</t>
    </rPh>
    <rPh sb="17" eb="18">
      <t>ワ</t>
    </rPh>
    <phoneticPr fontId="11"/>
  </si>
  <si>
    <t>ヒーロー＞しかし今日はその時ではない。</t>
    <rPh sb="8" eb="10">
      <t>キョウ</t>
    </rPh>
    <rPh sb="13" eb="14">
      <t>トキ</t>
    </rPh>
    <phoneticPr fontId="11"/>
  </si>
  <si>
    <t>オーク＞なんだって？</t>
    <phoneticPr fontId="11"/>
  </si>
  <si>
    <t>ヒーロー＞恐ろしい伝染病が国に広がっている。</t>
    <rPh sb="5" eb="6">
      <t>オソ</t>
    </rPh>
    <rPh sb="9" eb="12">
      <t>デンセンビョウ</t>
    </rPh>
    <rPh sb="13" eb="14">
      <t>クニ</t>
    </rPh>
    <rPh sb="15" eb="16">
      <t>ヒロ</t>
    </rPh>
    <phoneticPr fontId="11"/>
  </si>
  <si>
    <t>オーク＞でーんせんびょーう？</t>
    <phoneticPr fontId="11"/>
  </si>
  <si>
    <t>ヒーロー＞違う。伝染病、病気だ。この伝染病は地獄のごとく危険だと言われている。</t>
    <rPh sb="5" eb="6">
      <t>チガ</t>
    </rPh>
    <rPh sb="8" eb="11">
      <t>デンセンビョウ</t>
    </rPh>
    <rPh sb="12" eb="14">
      <t>ビョウキ</t>
    </rPh>
    <rPh sb="18" eb="21">
      <t>デンセンビョウ</t>
    </rPh>
    <rPh sb="22" eb="24">
      <t>ジゴク</t>
    </rPh>
    <rPh sb="28" eb="30">
      <t>キケン</t>
    </rPh>
    <rPh sb="32" eb="33">
      <t>イ</t>
    </rPh>
    <phoneticPr fontId="11"/>
  </si>
  <si>
    <t>ヒーロー＞兵士たちは戦争で死ぬ。伝染病ではなく。</t>
    <rPh sb="5" eb="7">
      <t>ヘイシ</t>
    </rPh>
    <rPh sb="10" eb="12">
      <t>センソウ</t>
    </rPh>
    <rPh sb="13" eb="14">
      <t>シ</t>
    </rPh>
    <rPh sb="16" eb="19">
      <t>デンセンビョウ</t>
    </rPh>
    <phoneticPr fontId="11"/>
  </si>
  <si>
    <t>オーク＞何と・・・言った？</t>
    <rPh sb="4" eb="5">
      <t>ナン</t>
    </rPh>
    <rPh sb="9" eb="10">
      <t>イ</t>
    </rPh>
    <phoneticPr fontId="11"/>
  </si>
  <si>
    <t>ヒーロー＞医者が治療法を見つけるまでこの戦争を延期しようと言っている。</t>
    <rPh sb="5" eb="7">
      <t>イシャ</t>
    </rPh>
    <rPh sb="8" eb="11">
      <t>チリョウホウ</t>
    </rPh>
    <rPh sb="12" eb="13">
      <t>ミ</t>
    </rPh>
    <rPh sb="20" eb="22">
      <t>センソウ</t>
    </rPh>
    <rPh sb="23" eb="25">
      <t>エンキ</t>
    </rPh>
    <rPh sb="29" eb="30">
      <t>イ</t>
    </rPh>
    <phoneticPr fontId="11"/>
  </si>
  <si>
    <t>ヒーロー＞おまえたちは分かっていない。この状況・・・</t>
    <rPh sb="11" eb="12">
      <t>ワ</t>
    </rPh>
    <rPh sb="21" eb="23">
      <t>ジョウキョウ</t>
    </rPh>
    <phoneticPr fontId="11"/>
  </si>
  <si>
    <t>オーク＞犬の鳴き声だ！我々の部隊は強い。病気がオークを脅かすことはない。</t>
    <rPh sb="4" eb="5">
      <t>イヌ</t>
    </rPh>
    <rPh sb="6" eb="7">
      <t>ナ</t>
    </rPh>
    <rPh sb="8" eb="9">
      <t>ゴエ</t>
    </rPh>
    <rPh sb="11" eb="13">
      <t>ワレワレ</t>
    </rPh>
    <rPh sb="14" eb="16">
      <t>ブタイ</t>
    </rPh>
    <rPh sb="17" eb="18">
      <t>ツヨ</t>
    </rPh>
    <rPh sb="20" eb="22">
      <t>ビョウキ</t>
    </rPh>
    <rPh sb="27" eb="28">
      <t>オビヤ</t>
    </rPh>
    <phoneticPr fontId="11"/>
  </si>
  <si>
    <t>オーク＞牛の鳴き声だ！鳴くのを止めろ！そこへ立ってこっちを見ろ、ひっぱたくぞ！</t>
    <rPh sb="4" eb="5">
      <t>ウシ</t>
    </rPh>
    <rPh sb="6" eb="7">
      <t>ナ</t>
    </rPh>
    <rPh sb="8" eb="9">
      <t>ゴエ</t>
    </rPh>
    <rPh sb="11" eb="12">
      <t>ナ</t>
    </rPh>
    <rPh sb="15" eb="16">
      <t>ヤ</t>
    </rPh>
    <rPh sb="22" eb="23">
      <t>タ</t>
    </rPh>
    <rPh sb="29" eb="30">
      <t>ミ</t>
    </rPh>
    <phoneticPr fontId="11"/>
  </si>
  <si>
    <t>ヒーロー＞分かった。早くしよう。ひとつの戦闘というのはどうだ？おまえと俺だけの。</t>
    <rPh sb="5" eb="6">
      <t>ワ</t>
    </rPh>
    <rPh sb="10" eb="11">
      <t>ハヤ</t>
    </rPh>
    <rPh sb="20" eb="22">
      <t>セントウ</t>
    </rPh>
    <rPh sb="35" eb="36">
      <t>オレ</t>
    </rPh>
    <phoneticPr fontId="11"/>
  </si>
  <si>
    <t>ヒーロー＞時間と兵士を消費しなくて済む。</t>
    <rPh sb="5" eb="7">
      <t>ジカン</t>
    </rPh>
    <rPh sb="8" eb="10">
      <t>ヘイシ</t>
    </rPh>
    <rPh sb="11" eb="13">
      <t>ショウヒ</t>
    </rPh>
    <rPh sb="17" eb="18">
      <t>ス</t>
    </rPh>
    <phoneticPr fontId="11"/>
  </si>
  <si>
    <t>オーク＞いや！私の部隊は戦いを望んでいる！部隊の戦闘を奪わないでくれ！</t>
    <rPh sb="7" eb="8">
      <t>ワタシ</t>
    </rPh>
    <rPh sb="9" eb="11">
      <t>ブタイ</t>
    </rPh>
    <rPh sb="12" eb="13">
      <t>タタカ</t>
    </rPh>
    <rPh sb="15" eb="16">
      <t>ノゾ</t>
    </rPh>
    <rPh sb="21" eb="23">
      <t>ブタイ</t>
    </rPh>
    <rPh sb="24" eb="26">
      <t>セントウ</t>
    </rPh>
    <rPh sb="27" eb="28">
      <t>ウバ</t>
    </rPh>
    <phoneticPr fontId="11"/>
  </si>
  <si>
    <t>死んでいない者＞ええと・・・ええと・・・</t>
    <rPh sb="0" eb="1">
      <t>シ</t>
    </rPh>
    <rPh sb="6" eb="7">
      <t>モノ</t>
    </rPh>
    <phoneticPr fontId="11"/>
  </si>
  <si>
    <t>ヒーロー＞おまえは誰だ？</t>
    <rPh sb="9" eb="10">
      <t>ダレ</t>
    </rPh>
    <phoneticPr fontId="11"/>
  </si>
  <si>
    <t>ヒーロー＞おまえたちは何も学ばない。</t>
    <rPh sb="11" eb="12">
      <t>ナニ</t>
    </rPh>
    <rPh sb="13" eb="14">
      <t>マナ</t>
    </rPh>
    <phoneticPr fontId="11"/>
  </si>
  <si>
    <t>オーク＞</t>
    <phoneticPr fontId="11"/>
  </si>
  <si>
    <t>死んでいない者＞私は誰でもない。</t>
    <rPh sb="0" eb="1">
      <t>シ</t>
    </rPh>
    <rPh sb="6" eb="7">
      <t>モノ</t>
    </rPh>
    <rPh sb="8" eb="9">
      <t>ワタシ</t>
    </rPh>
    <rPh sb="10" eb="11">
      <t>ダレ</t>
    </rPh>
    <phoneticPr fontId="11"/>
  </si>
  <si>
    <t>ヒーロー＞私には分かる。そんなわけはない。おまえは・・・</t>
    <rPh sb="5" eb="6">
      <t>ワタシ</t>
    </rPh>
    <rPh sb="8" eb="9">
      <t>ワ</t>
    </rPh>
    <phoneticPr fontId="11"/>
  </si>
  <si>
    <t>死んでいない者＞おいおいおい。私は誰でもないといったばかりだ。この時を台無しにしないでくれ。</t>
    <rPh sb="0" eb="1">
      <t>シ</t>
    </rPh>
    <rPh sb="6" eb="7">
      <t>モノ</t>
    </rPh>
    <rPh sb="15" eb="16">
      <t>ワタシ</t>
    </rPh>
    <rPh sb="17" eb="18">
      <t>ダレ</t>
    </rPh>
    <rPh sb="33" eb="34">
      <t>トキ</t>
    </rPh>
    <rPh sb="35" eb="37">
      <t>ダイナ</t>
    </rPh>
    <phoneticPr fontId="11"/>
  </si>
  <si>
    <t>オーク＞お前は話し過ぎる。おまえも死ぬのだ。</t>
    <rPh sb="5" eb="6">
      <t>マエ</t>
    </rPh>
    <rPh sb="7" eb="8">
      <t>ハナ</t>
    </rPh>
    <rPh sb="9" eb="10">
      <t>ス</t>
    </rPh>
    <rPh sb="17" eb="18">
      <t>シ</t>
    </rPh>
    <phoneticPr fontId="11"/>
  </si>
  <si>
    <t>オーク＞オーオーオーオーオーオー＠</t>
    <phoneticPr fontId="11"/>
  </si>
  <si>
    <t>死んでいない者＞何にオーオーオーと言っているのか。</t>
    <rPh sb="0" eb="1">
      <t>シ</t>
    </rPh>
    <rPh sb="6" eb="7">
      <t>モノ</t>
    </rPh>
    <rPh sb="8" eb="9">
      <t>ナニ</t>
    </rPh>
    <rPh sb="17" eb="18">
      <t>イ</t>
    </rPh>
    <phoneticPr fontId="11"/>
  </si>
  <si>
    <t>オーク＞私の部隊はあなたと愚かなヒューマンを殺す。</t>
    <rPh sb="4" eb="5">
      <t>ワタシ</t>
    </rPh>
    <rPh sb="6" eb="8">
      <t>ブタイ</t>
    </rPh>
    <rPh sb="13" eb="14">
      <t>オロ</t>
    </rPh>
    <rPh sb="22" eb="23">
      <t>コロ</t>
    </rPh>
    <phoneticPr fontId="11"/>
  </si>
  <si>
    <t>ヒーロー＞君はオークのようだ。私の部下は人生を無駄にしない。君も走るべきだ。</t>
    <rPh sb="5" eb="6">
      <t>キミ</t>
    </rPh>
    <rPh sb="15" eb="16">
      <t>ワタシ</t>
    </rPh>
    <rPh sb="17" eb="19">
      <t>ブカ</t>
    </rPh>
    <rPh sb="20" eb="22">
      <t>ジンセイ</t>
    </rPh>
    <rPh sb="23" eb="25">
      <t>ムダ</t>
    </rPh>
    <rPh sb="30" eb="31">
      <t>キミ</t>
    </rPh>
    <rPh sb="32" eb="33">
      <t>ハシ</t>
    </rPh>
    <phoneticPr fontId="11"/>
  </si>
  <si>
    <t>死なない者＞何を言っている？おまえの軍はここにいない。</t>
    <rPh sb="0" eb="1">
      <t>シ</t>
    </rPh>
    <rPh sb="4" eb="5">
      <t>モノ</t>
    </rPh>
    <rPh sb="6" eb="7">
      <t>ナニ</t>
    </rPh>
    <rPh sb="8" eb="9">
      <t>イ</t>
    </rPh>
    <rPh sb="18" eb="19">
      <t>グン</t>
    </rPh>
    <phoneticPr fontId="11"/>
  </si>
  <si>
    <t>ヒーロー＞なんだって？（叫び）</t>
    <rPh sb="12" eb="13">
      <t>サケ</t>
    </rPh>
    <phoneticPr fontId="11"/>
  </si>
  <si>
    <t>オーク＞なんだって？（叫び）</t>
    <rPh sb="11" eb="12">
      <t>サケ</t>
    </rPh>
    <phoneticPr fontId="11"/>
  </si>
  <si>
    <t>ヒーロー＞彼らになにが起こっているのｋ？</t>
    <rPh sb="5" eb="6">
      <t>カレ</t>
    </rPh>
    <rPh sb="11" eb="12">
      <t>オ</t>
    </rPh>
    <phoneticPr fontId="11"/>
  </si>
  <si>
    <t>死んでいない者＞彼らは我らの部下だ。</t>
    <rPh sb="0" eb="1">
      <t>シ</t>
    </rPh>
    <rPh sb="6" eb="7">
      <t>モノ</t>
    </rPh>
    <rPh sb="8" eb="9">
      <t>カレ</t>
    </rPh>
    <rPh sb="11" eb="12">
      <t>ワレ</t>
    </rPh>
    <rPh sb="14" eb="16">
      <t>ブカ</t>
    </rPh>
    <phoneticPr fontId="11"/>
  </si>
  <si>
    <t>死んでいない者＞彼らの中に入する。</t>
    <rPh sb="0" eb="1">
      <t>シ</t>
    </rPh>
    <rPh sb="6" eb="7">
      <t>モノ</t>
    </rPh>
    <rPh sb="8" eb="9">
      <t>カレ</t>
    </rPh>
    <rPh sb="11" eb="12">
      <t>ナカ</t>
    </rPh>
    <rPh sb="13" eb="14">
      <t>ハイ</t>
    </rPh>
    <phoneticPr fontId="11"/>
  </si>
  <si>
    <t>死んでいない者＞装備しよう。</t>
    <rPh sb="0" eb="1">
      <t>シ</t>
    </rPh>
    <rPh sb="6" eb="7">
      <t>モノ</t>
    </rPh>
    <rPh sb="8" eb="10">
      <t>ソウビ</t>
    </rPh>
    <phoneticPr fontId="11"/>
  </si>
  <si>
    <t>死んでいない者＞ハハハハハハハハハハ（叫び）</t>
    <rPh sb="0" eb="1">
      <t>シ</t>
    </rPh>
    <rPh sb="6" eb="7">
      <t>モノ</t>
    </rPh>
    <rPh sb="19" eb="20">
      <t>サケ</t>
    </rPh>
    <phoneticPr fontId="11"/>
  </si>
  <si>
    <t>ヒーロー＞降参しろ。おまえたちの負けだ。</t>
    <rPh sb="5" eb="7">
      <t>コウサン</t>
    </rPh>
    <rPh sb="16" eb="17">
      <t>マ</t>
    </rPh>
    <phoneticPr fontId="11"/>
  </si>
  <si>
    <t>死んでいない者＞なんだって？誰が言った？</t>
    <rPh sb="0" eb="1">
      <t>シ</t>
    </rPh>
    <rPh sb="6" eb="7">
      <t>モノ</t>
    </rPh>
    <rPh sb="14" eb="15">
      <t>ダレ</t>
    </rPh>
    <rPh sb="16" eb="17">
      <t>イ</t>
    </rPh>
    <phoneticPr fontId="11"/>
  </si>
  <si>
    <t>ヒーロー＞なぜだ？ポケットにまだゾンビがいるのではないか？</t>
    <phoneticPr fontId="11"/>
  </si>
  <si>
    <t>死んでいない者＞うそを言え。戦争は終わったと思うのか？</t>
    <rPh sb="0" eb="1">
      <t>シ</t>
    </rPh>
    <rPh sb="6" eb="7">
      <t>モノ</t>
    </rPh>
    <rPh sb="11" eb="12">
      <t>イ</t>
    </rPh>
    <rPh sb="14" eb="16">
      <t>センソウ</t>
    </rPh>
    <rPh sb="17" eb="18">
      <t>オ</t>
    </rPh>
    <rPh sb="22" eb="23">
      <t>オモ</t>
    </rPh>
    <phoneticPr fontId="11"/>
  </si>
  <si>
    <t>ヒーロー＞いや。我々が戦いを終わりにした。</t>
    <rPh sb="8" eb="10">
      <t>ワレワレ</t>
    </rPh>
    <rPh sb="11" eb="12">
      <t>タタカ</t>
    </rPh>
    <rPh sb="14" eb="15">
      <t>オ</t>
    </rPh>
    <phoneticPr fontId="11"/>
  </si>
  <si>
    <t>オーク＞オーオーオー！</t>
    <phoneticPr fontId="11"/>
  </si>
  <si>
    <t>ヒーロー＞見たか？</t>
    <rPh sb="5" eb="6">
      <t>ミ</t>
    </rPh>
    <phoneticPr fontId="11"/>
  </si>
  <si>
    <t>死んでいない者＞は！</t>
    <rPh sb="0" eb="1">
      <t>シ</t>
    </rPh>
    <rPh sb="6" eb="7">
      <t>モノ</t>
    </rPh>
    <phoneticPr fontId="11"/>
  </si>
  <si>
    <t>死んでいない者＞言ったはずだ。おまえは分かっていない。</t>
    <rPh sb="0" eb="1">
      <t>シ</t>
    </rPh>
    <rPh sb="6" eb="7">
      <t>モノ</t>
    </rPh>
    <rPh sb="8" eb="9">
      <t>イ</t>
    </rPh>
    <rPh sb="19" eb="20">
      <t>ワ</t>
    </rPh>
    <phoneticPr fontId="11"/>
  </si>
  <si>
    <t>ヒーロー＞何だと？</t>
    <rPh sb="5" eb="6">
      <t>ナン</t>
    </rPh>
    <phoneticPr fontId="11"/>
  </si>
  <si>
    <t>死んでいない者＞世界に平和が訪れたと思ているのか？</t>
    <rPh sb="0" eb="1">
      <t>シ</t>
    </rPh>
    <rPh sb="6" eb="7">
      <t>モノ</t>
    </rPh>
    <rPh sb="8" eb="10">
      <t>セカイ</t>
    </rPh>
    <rPh sb="11" eb="13">
      <t>ヘイワ</t>
    </rPh>
    <rPh sb="14" eb="15">
      <t>オトズ</t>
    </rPh>
    <rPh sb="18" eb="19">
      <t>オモ</t>
    </rPh>
    <phoneticPr fontId="11"/>
  </si>
  <si>
    <t>ヒーロー＞そうだ。オークとヒューマンは友だちだ。</t>
    <rPh sb="19" eb="20">
      <t>トモ</t>
    </rPh>
    <phoneticPr fontId="11"/>
  </si>
  <si>
    <t>死んでいない者＞ハハハハハ（叫び）</t>
    <rPh sb="0" eb="1">
      <t>シ</t>
    </rPh>
    <rPh sb="6" eb="7">
      <t>モノ</t>
    </rPh>
    <rPh sb="14" eb="15">
      <t>サケ</t>
    </rPh>
    <phoneticPr fontId="11"/>
  </si>
  <si>
    <t>死んでいない者＞オークにそれが本当かたずねてみよう。</t>
    <rPh sb="0" eb="1">
      <t>シ</t>
    </rPh>
    <rPh sb="6" eb="7">
      <t>モノ</t>
    </rPh>
    <rPh sb="15" eb="17">
      <t>ホントウ</t>
    </rPh>
    <phoneticPr fontId="11"/>
  </si>
  <si>
    <t>死んでいない者＞やあ、友よ。私を殺した後。次に誰を殺す？</t>
    <rPh sb="0" eb="1">
      <t>シ</t>
    </rPh>
    <rPh sb="6" eb="7">
      <t>モノ</t>
    </rPh>
    <rPh sb="11" eb="12">
      <t>トモ</t>
    </rPh>
    <rPh sb="14" eb="15">
      <t>ワタシ</t>
    </rPh>
    <rPh sb="16" eb="17">
      <t>コロ</t>
    </rPh>
    <rPh sb="19" eb="20">
      <t>アト</t>
    </rPh>
    <rPh sb="21" eb="22">
      <t>ツギ</t>
    </rPh>
    <rPh sb="23" eb="24">
      <t>ダレ</t>
    </rPh>
    <rPh sb="25" eb="26">
      <t>コロ</t>
    </rPh>
    <phoneticPr fontId="11"/>
  </si>
  <si>
    <t>オーク＞おまえとむかつくヒューマンを殺す！</t>
    <rPh sb="18" eb="19">
      <t>コロ</t>
    </rPh>
    <phoneticPr fontId="11"/>
  </si>
  <si>
    <t>ヒーロー＞何？（叫び）</t>
    <rPh sb="5" eb="6">
      <t>ナニ</t>
    </rPh>
    <rPh sb="8" eb="9">
      <t>サケ</t>
    </rPh>
    <phoneticPr fontId="11"/>
  </si>
  <si>
    <t>死んでいない者＞分かったか？</t>
    <rPh sb="0" eb="1">
      <t>シ</t>
    </rPh>
    <rPh sb="6" eb="7">
      <t>モノ</t>
    </rPh>
    <rPh sb="8" eb="9">
      <t>ワ</t>
    </rPh>
    <phoneticPr fontId="11"/>
  </si>
  <si>
    <t>ヒーロー＞何を言っている？我々は今や友だ。</t>
    <rPh sb="5" eb="6">
      <t>ナニ</t>
    </rPh>
    <rPh sb="7" eb="8">
      <t>イ</t>
    </rPh>
    <rPh sb="13" eb="15">
      <t>ワレワレ</t>
    </rPh>
    <rPh sb="16" eb="17">
      <t>イマ</t>
    </rPh>
    <rPh sb="18" eb="19">
      <t>トモ</t>
    </rPh>
    <phoneticPr fontId="11"/>
  </si>
  <si>
    <t>オーク＞冗談だろう？ヒューマンとオークの友好はあり得ない。オークはヒューマンを殺す。憎きヒューマン。</t>
    <rPh sb="4" eb="6">
      <t>ジョウダン</t>
    </rPh>
    <rPh sb="20" eb="22">
      <t>ユウコウ</t>
    </rPh>
    <rPh sb="25" eb="26">
      <t>エ</t>
    </rPh>
    <rPh sb="39" eb="40">
      <t>コロ</t>
    </rPh>
    <rPh sb="42" eb="43">
      <t>ニク</t>
    </rPh>
    <phoneticPr fontId="11"/>
  </si>
  <si>
    <t>ヒーロー＞なぜヒューマンが悪い？おまえが殺すものだ。</t>
    <rPh sb="13" eb="14">
      <t>ワル</t>
    </rPh>
    <rPh sb="20" eb="21">
      <t>コロ</t>
    </rPh>
    <phoneticPr fontId="11"/>
  </si>
  <si>
    <t>オーク＞オークはヒューマンを殺す。なぜならヒューマンは他の皆を殺すから。</t>
    <rPh sb="14" eb="15">
      <t>コロ</t>
    </rPh>
    <rPh sb="27" eb="28">
      <t>ホカ</t>
    </rPh>
    <rPh sb="29" eb="30">
      <t>ミナ</t>
    </rPh>
    <rPh sb="31" eb="32">
      <t>コロ</t>
    </rPh>
    <phoneticPr fontId="11"/>
  </si>
  <si>
    <t>ヒーロー＞何を言っているのかわからない。</t>
    <rPh sb="5" eb="6">
      <t>ナニ</t>
    </rPh>
    <rPh sb="7" eb="8">
      <t>イ</t>
    </rPh>
    <phoneticPr fontId="11"/>
  </si>
  <si>
    <t>死んでいない者＞分かったか？おまえたちはなにも分かっていない。だから世界を終わらせようとしたのだ。</t>
    <rPh sb="0" eb="1">
      <t>シ</t>
    </rPh>
    <rPh sb="6" eb="7">
      <t>モノ</t>
    </rPh>
    <rPh sb="8" eb="9">
      <t>ワ</t>
    </rPh>
    <rPh sb="23" eb="24">
      <t>ワ</t>
    </rPh>
    <rPh sb="34" eb="36">
      <t>セカイ</t>
    </rPh>
    <rPh sb="37" eb="38">
      <t>オ</t>
    </rPh>
    <phoneticPr fontId="11"/>
  </si>
  <si>
    <t>死んでいない者＞それが唯一の解決策だ。</t>
    <rPh sb="0" eb="1">
      <t>シ</t>
    </rPh>
    <rPh sb="6" eb="7">
      <t>モノ</t>
    </rPh>
    <rPh sb="11" eb="13">
      <t>ユイイツ</t>
    </rPh>
    <rPh sb="14" eb="17">
      <t>カイケツサク</t>
    </rPh>
    <phoneticPr fontId="11"/>
  </si>
  <si>
    <t>死んでいない者＞それは成されつつある。</t>
    <rPh sb="0" eb="1">
      <t>シ</t>
    </rPh>
    <rPh sb="6" eb="7">
      <t>モノ</t>
    </rPh>
    <rPh sb="11" eb="12">
      <t>ナ</t>
    </rPh>
    <phoneticPr fontId="11"/>
  </si>
  <si>
    <t>ヒューマンのスパイのうその報告を聞いて、高揚したカランの軍隊はオークの反逆軍の前哨地に到着した。カランはジャスティンを信用せず、スパイを信用しなかった。混乱したカランは、唯一の選択肢はヒューマンの支援無しにオークの反逆を打ち倒すことだと思った。この知らせを聞いて、王の主戦力はオークの反逆軍を支援した。ジャスティンはヒューマンの城を占拠することができたが、かれは政権を奪取する代わりにカランを助けるため戦場に走った。</t>
    <rPh sb="20" eb="22">
      <t>コウヨウ</t>
    </rPh>
    <rPh sb="28" eb="30">
      <t>グンタイ</t>
    </rPh>
    <rPh sb="35" eb="37">
      <t>ハンギャク</t>
    </rPh>
    <rPh sb="37" eb="38">
      <t>グン</t>
    </rPh>
    <rPh sb="39" eb="41">
      <t>ゼンショウ</t>
    </rPh>
    <rPh sb="41" eb="42">
      <t>チ</t>
    </rPh>
    <rPh sb="43" eb="45">
      <t>トウチャク</t>
    </rPh>
    <rPh sb="59" eb="61">
      <t>シンヨウ</t>
    </rPh>
    <rPh sb="68" eb="70">
      <t>シンヨウ</t>
    </rPh>
    <rPh sb="76" eb="78">
      <t>コンラン</t>
    </rPh>
    <rPh sb="85" eb="87">
      <t>ユイイツ</t>
    </rPh>
    <rPh sb="88" eb="91">
      <t>センタクシ</t>
    </rPh>
    <rPh sb="98" eb="100">
      <t>シエン</t>
    </rPh>
    <rPh sb="100" eb="101">
      <t>ナ</t>
    </rPh>
    <rPh sb="107" eb="109">
      <t>ハンギャク</t>
    </rPh>
    <rPh sb="110" eb="111">
      <t>ウ</t>
    </rPh>
    <rPh sb="112" eb="113">
      <t>タオ</t>
    </rPh>
    <rPh sb="118" eb="119">
      <t>オモ</t>
    </rPh>
    <rPh sb="124" eb="125">
      <t>シ</t>
    </rPh>
    <rPh sb="128" eb="129">
      <t>キ</t>
    </rPh>
    <rPh sb="132" eb="133">
      <t>オウ</t>
    </rPh>
    <rPh sb="134" eb="135">
      <t>シュ</t>
    </rPh>
    <rPh sb="135" eb="137">
      <t>センリョク</t>
    </rPh>
    <rPh sb="142" eb="144">
      <t>ハンギャク</t>
    </rPh>
    <rPh sb="144" eb="145">
      <t>グン</t>
    </rPh>
    <rPh sb="146" eb="148">
      <t>シエン</t>
    </rPh>
    <rPh sb="164" eb="165">
      <t>シロ</t>
    </rPh>
    <rPh sb="166" eb="168">
      <t>センキョ</t>
    </rPh>
    <rPh sb="181" eb="183">
      <t>セイケン</t>
    </rPh>
    <rPh sb="184" eb="186">
      <t>ダッシュ</t>
    </rPh>
    <rPh sb="188" eb="189">
      <t>カ</t>
    </rPh>
    <rPh sb="196" eb="197">
      <t>タス</t>
    </rPh>
    <rPh sb="201" eb="203">
      <t>センジョウ</t>
    </rPh>
    <rPh sb="204" eb="205">
      <t>ハシ</t>
    </rPh>
    <phoneticPr fontId="11"/>
  </si>
</sst>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0"/>
      <color rgb="FF000000"/>
      <name val="Arial"/>
    </font>
    <font>
      <sz val="10"/>
      <name val="Arial"/>
      <family val="2"/>
    </font>
    <font>
      <b/>
      <sz val="10"/>
      <color rgb="FF000000"/>
      <name val="Helvetica"/>
    </font>
    <font>
      <b/>
      <sz val="10"/>
      <name val="Arial"/>
      <family val="2"/>
    </font>
    <font>
      <sz val="10"/>
      <color rgb="FF000000"/>
      <name val="Helvetica"/>
    </font>
    <font>
      <sz val="10"/>
      <color rgb="FF000000"/>
      <name val="Apple SD Gothic Neo"/>
    </font>
    <font>
      <sz val="10"/>
      <color rgb="FF000000"/>
      <name val="Arial"/>
      <family val="2"/>
    </font>
    <font>
      <sz val="10"/>
      <name val="Arial"/>
      <family val="2"/>
    </font>
    <font>
      <sz val="10"/>
      <color rgb="FF222222"/>
      <name val="Arial"/>
      <family val="2"/>
    </font>
    <font>
      <sz val="10"/>
      <color rgb="FF000000"/>
      <name val="Helvetica"/>
    </font>
    <font>
      <sz val="12"/>
      <color rgb="FF000000"/>
      <name val="Apple SD Gothic Neo"/>
    </font>
    <font>
      <sz val="6"/>
      <name val="ＭＳ Ｐゴシック"/>
      <family val="3"/>
      <charset val="128"/>
    </font>
    <font>
      <sz val="10"/>
      <color rgb="FF000000"/>
      <name val="メイリオ"/>
      <family val="3"/>
      <charset val="128"/>
    </font>
    <font>
      <sz val="10"/>
      <color rgb="FF000000"/>
      <name val="Malgun Gothic"/>
      <family val="2"/>
      <charset val="129"/>
    </font>
    <font>
      <sz val="10"/>
      <color rgb="FF000000"/>
      <name val="Apple SD Gothic Neo"/>
      <family val="2"/>
      <charset val="129"/>
    </font>
    <font>
      <sz val="10"/>
      <color rgb="FF000000"/>
      <name val="Arial"/>
      <family val="2"/>
      <charset val="129"/>
    </font>
    <font>
      <sz val="10"/>
      <color rgb="FF000000"/>
      <name val="Helvetica"/>
      <family val="2"/>
    </font>
    <font>
      <sz val="10"/>
      <name val="メイリオ"/>
      <family val="3"/>
      <charset val="128"/>
    </font>
    <font>
      <sz val="10"/>
      <color rgb="FFFF0000"/>
      <name val="メイリオ"/>
      <family val="3"/>
      <charset val="128"/>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indexed="64"/>
      </top>
      <bottom style="thin">
        <color indexed="64"/>
      </bottom>
      <diagonal/>
    </border>
  </borders>
  <cellStyleXfs count="1">
    <xf numFmtId="0" fontId="0" fillId="0" borderId="0"/>
  </cellStyleXfs>
  <cellXfs count="38">
    <xf numFmtId="0" fontId="0" fillId="0" borderId="0" xfId="0" applyFont="1" applyAlignment="1"/>
    <xf numFmtId="0" fontId="12" fillId="0" borderId="6" xfId="0" applyFont="1" applyFill="1" applyBorder="1" applyAlignment="1">
      <alignment horizontal="left" vertical="top" wrapText="1"/>
    </xf>
    <xf numFmtId="0" fontId="4"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0" fillId="0" borderId="0" xfId="0" applyFont="1" applyFill="1" applyAlignment="1"/>
    <xf numFmtId="0" fontId="1" fillId="0" borderId="0" xfId="0" applyFont="1" applyFill="1" applyAlignment="1"/>
    <xf numFmtId="0" fontId="4" fillId="0" borderId="1" xfId="0" applyFont="1" applyFill="1" applyBorder="1" applyAlignment="1">
      <alignment vertical="top"/>
    </xf>
    <xf numFmtId="0" fontId="2" fillId="0" borderId="1" xfId="0" applyFont="1" applyFill="1" applyBorder="1" applyAlignment="1">
      <alignment vertical="top"/>
    </xf>
    <xf numFmtId="0" fontId="5"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5" fillId="0" borderId="7" xfId="0" applyFont="1" applyFill="1" applyBorder="1" applyAlignment="1">
      <alignment horizontal="left" vertical="top" wrapText="1"/>
    </xf>
    <xf numFmtId="0" fontId="6"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15" fillId="0" borderId="1" xfId="0" applyFont="1" applyFill="1" applyBorder="1" applyAlignment="1">
      <alignment horizontal="left" vertical="top" wrapText="1"/>
    </xf>
    <xf numFmtId="0" fontId="17" fillId="0" borderId="6" xfId="0" applyFont="1" applyFill="1" applyBorder="1" applyAlignment="1">
      <alignment horizontal="left" vertical="top" wrapText="1"/>
    </xf>
    <xf numFmtId="0" fontId="7" fillId="0" borderId="1" xfId="0" applyFont="1" applyFill="1" applyBorder="1" applyAlignment="1">
      <alignment vertical="top"/>
    </xf>
    <xf numFmtId="0" fontId="1" fillId="0" borderId="0" xfId="0" applyFont="1" applyFill="1" applyAlignment="1">
      <alignment horizontal="left" vertical="top" wrapText="1"/>
    </xf>
    <xf numFmtId="0" fontId="7" fillId="0" borderId="2" xfId="0" applyFont="1" applyFill="1" applyBorder="1" applyAlignment="1">
      <alignment vertical="top"/>
    </xf>
    <xf numFmtId="0" fontId="6" fillId="0" borderId="3" xfId="0" applyFont="1" applyFill="1" applyBorder="1" applyAlignment="1">
      <alignment horizontal="left" vertical="top" wrapText="1"/>
    </xf>
    <xf numFmtId="0" fontId="5" fillId="0" borderId="3" xfId="0" applyFont="1" applyFill="1" applyBorder="1" applyAlignment="1">
      <alignment horizontal="left" vertical="top" wrapText="1"/>
    </xf>
    <xf numFmtId="0" fontId="8" fillId="0" borderId="0" xfId="0" applyFont="1" applyFill="1" applyAlignment="1">
      <alignment horizontal="left" vertical="top" wrapText="1"/>
    </xf>
    <xf numFmtId="0" fontId="8" fillId="0" borderId="9" xfId="0" applyFont="1" applyFill="1" applyBorder="1" applyAlignment="1">
      <alignment horizontal="left" vertical="top" wrapText="1"/>
    </xf>
    <xf numFmtId="0" fontId="5" fillId="0" borderId="8" xfId="0" applyFont="1" applyFill="1" applyBorder="1" applyAlignment="1">
      <alignment horizontal="left" vertical="top" wrapText="1"/>
    </xf>
    <xf numFmtId="0" fontId="5" fillId="0" borderId="4" xfId="0" applyFont="1" applyFill="1" applyBorder="1" applyAlignment="1">
      <alignment horizontal="left" vertical="top" wrapText="1"/>
    </xf>
    <xf numFmtId="0" fontId="18" fillId="0" borderId="6" xfId="0" applyFont="1" applyFill="1" applyBorder="1" applyAlignment="1">
      <alignment horizontal="left" vertical="top" wrapText="1"/>
    </xf>
    <xf numFmtId="0" fontId="12" fillId="0" borderId="1" xfId="0" applyFont="1" applyFill="1" applyBorder="1" applyAlignment="1">
      <alignment horizontal="left" vertical="top" wrapText="1"/>
    </xf>
    <xf numFmtId="0" fontId="6" fillId="0" borderId="7" xfId="0" applyFont="1" applyFill="1" applyBorder="1" applyAlignment="1">
      <alignment horizontal="left" vertical="top" wrapText="1"/>
    </xf>
    <xf numFmtId="0" fontId="6" fillId="0" borderId="0" xfId="0" applyFont="1" applyFill="1" applyAlignment="1">
      <alignment horizontal="left" vertical="top" wrapText="1"/>
    </xf>
    <xf numFmtId="0" fontId="10" fillId="0" borderId="1"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5" xfId="0"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2" xfId="0" applyFont="1" applyFill="1" applyBorder="1" applyAlignment="1">
      <alignment horizontal="left" vertical="top" wrapText="1"/>
    </xf>
    <xf numFmtId="0" fontId="2"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0" xfId="0" applyFont="1" applyFill="1" applyAlignment="1">
      <alignment horizontal="left" vertical="top" wrapText="1"/>
    </xf>
    <xf numFmtId="0" fontId="0" fillId="0" borderId="0" xfId="0" applyFont="1" applyFill="1" applyAlignment="1">
      <alignment horizontal="left" vertical="top" wrapText="1"/>
    </xf>
    <xf numFmtId="0" fontId="12" fillId="0" borderId="0" xfId="0" applyFont="1" applyFill="1" applyAlignment="1">
      <alignment horizontal="left" vertical="top" wrapText="1"/>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451"/>
  <sheetViews>
    <sheetView tabSelected="1" topLeftCell="A448" zoomScaleNormal="100" workbookViewId="0">
      <selection activeCell="B5" sqref="B5"/>
    </sheetView>
  </sheetViews>
  <sheetFormatPr defaultColWidth="14.42578125" defaultRowHeight="15.75" customHeight="1"/>
  <cols>
    <col min="1" max="1" width="27.5703125" style="4" customWidth="1"/>
    <col min="2" max="2" width="40.85546875" style="36" customWidth="1"/>
    <col min="3" max="3" width="37" style="36" customWidth="1"/>
    <col min="4" max="4" width="26.7109375" style="36" hidden="1" customWidth="1"/>
    <col min="5" max="5" width="40.5703125" style="36" hidden="1" customWidth="1"/>
    <col min="6" max="6" width="40.85546875" style="36" hidden="1" customWidth="1"/>
    <col min="7" max="7" width="35.7109375" style="36" hidden="1" customWidth="1"/>
    <col min="8" max="8" width="25.85546875" style="36" hidden="1" customWidth="1"/>
    <col min="9" max="9" width="40.28515625" style="37" customWidth="1"/>
    <col min="10" max="16384" width="14.42578125" style="4"/>
  </cols>
  <sheetData>
    <row r="1" spans="1:9" ht="15.75" customHeight="1">
      <c r="A1" s="7" t="s">
        <v>0</v>
      </c>
      <c r="B1" s="33" t="s">
        <v>1</v>
      </c>
      <c r="C1" s="33" t="s">
        <v>2</v>
      </c>
      <c r="D1" s="33" t="s">
        <v>3</v>
      </c>
      <c r="E1" s="33" t="s">
        <v>4</v>
      </c>
      <c r="F1" s="34" t="s">
        <v>5</v>
      </c>
      <c r="G1" s="34" t="s">
        <v>6</v>
      </c>
      <c r="H1" s="35" t="s">
        <v>7</v>
      </c>
      <c r="I1" s="1" t="s">
        <v>2517</v>
      </c>
    </row>
    <row r="2" spans="1:9" ht="15.75" customHeight="1">
      <c r="A2" s="7"/>
      <c r="B2" s="2"/>
      <c r="C2" s="2"/>
      <c r="D2" s="2"/>
      <c r="E2" s="2"/>
      <c r="F2" s="9"/>
      <c r="G2" s="8"/>
      <c r="H2" s="10"/>
      <c r="I2" s="1"/>
    </row>
    <row r="3" spans="1:9" ht="15.75" customHeight="1">
      <c r="A3" s="7" t="s">
        <v>8</v>
      </c>
      <c r="B3" s="2" t="s">
        <v>9</v>
      </c>
      <c r="C3" s="8" t="s">
        <v>10</v>
      </c>
      <c r="D3" s="2" t="s">
        <v>11</v>
      </c>
      <c r="E3" s="2" t="s">
        <v>12</v>
      </c>
      <c r="F3" s="9" t="s">
        <v>13</v>
      </c>
      <c r="G3" s="8" t="str">
        <f t="shared" ref="G3:G11" ca="1" si="0">IFERROR(__xludf.DUMMYFUNCTION("GOOGLETRANSLATE(B3,""en"", ""de"")"),"KOMPLETTPAKET")</f>
        <v>KOMPLETTPAKET</v>
      </c>
      <c r="H3" s="10" t="str">
        <f ca="1">IFERROR(__xludf.DUMMYFUNCTION("GOOGLETRANSLATE(B3,""en"", ""tr"")"),"DOLU PAKET")</f>
        <v>DOLU PAKET</v>
      </c>
      <c r="I3" s="1" t="s">
        <v>2518</v>
      </c>
    </row>
    <row r="4" spans="1:9" ht="15.75" customHeight="1">
      <c r="A4" s="7" t="s">
        <v>2</v>
      </c>
      <c r="B4" s="8" t="str">
        <f t="shared" ref="B4:B10" ca="1" si="1">IFERROR(__xludf.DUMMYFUNCTION("GOOGLETRANSLATE(C4,""ko"", ""en"")"),"Korean")</f>
        <v>Korean</v>
      </c>
      <c r="C4" s="11" t="s">
        <v>14</v>
      </c>
      <c r="D4" s="8" t="str">
        <f ca="1">IFERROR(__xludf.DUMMYFUNCTION("GOOGLETRANSLATE(C4,""ko"", ""es"")"),"coreano")</f>
        <v>coreano</v>
      </c>
      <c r="E4" s="8" t="s">
        <v>15</v>
      </c>
      <c r="F4" s="8" t="str">
        <f ca="1">IFERROR(__xludf.DUMMYFUNCTION("GOOGLETRANSLATE(C4,""ko"", ""fr"")"),"coréen")</f>
        <v>coréen</v>
      </c>
      <c r="G4" s="8" t="str">
        <f t="shared" ca="1" si="0"/>
        <v>KOMPLETTPAKET</v>
      </c>
      <c r="H4" s="10" t="str">
        <f ca="1">IFERROR(__xludf.DUMMYFUNCTION("GOOGLETRANSLATE(B3,""en"", ""tr"")"),"DOLU PAKET")</f>
        <v>DOLU PAKET</v>
      </c>
      <c r="I4" s="1" t="s">
        <v>2519</v>
      </c>
    </row>
    <row r="5" spans="1:9" ht="15.75" customHeight="1">
      <c r="A5" s="7" t="s">
        <v>1</v>
      </c>
      <c r="B5" s="8" t="str">
        <f t="shared" ca="1" si="1"/>
        <v>Korean</v>
      </c>
      <c r="C5" s="11" t="s">
        <v>16</v>
      </c>
      <c r="D5" s="8" t="str">
        <f t="shared" ref="D5:D11" ca="1" si="2">IFERROR(__xludf.DUMMYFUNCTION("GOOGLETRANSLATE(B5,""en"", ""es"")"),"Inglés")</f>
        <v>Inglés</v>
      </c>
      <c r="E5" s="8" t="s">
        <v>17</v>
      </c>
      <c r="F5" s="8" t="str">
        <f t="shared" ref="F5:F11" ca="1" si="3">IFERROR(__xludf.DUMMYFUNCTION("GOOGLETRANSLATE(B5,""en"", ""fr"")"),"Anglais")</f>
        <v>Anglais</v>
      </c>
      <c r="G5" s="8" t="str">
        <f t="shared" ca="1" si="0"/>
        <v>KOMPLETTPAKET</v>
      </c>
      <c r="H5" s="10" t="str">
        <f ca="1">IFERROR(__xludf.DUMMYFUNCTION("GOOGLETRANSLATE(B3,""en"", ""tr"")"),"DOLU PAKET")</f>
        <v>DOLU PAKET</v>
      </c>
      <c r="I5" s="1" t="s">
        <v>2520</v>
      </c>
    </row>
    <row r="6" spans="1:9" ht="15.75" customHeight="1">
      <c r="A6" s="7" t="s">
        <v>4</v>
      </c>
      <c r="B6" s="8" t="str">
        <f t="shared" ca="1" si="1"/>
        <v>Korean</v>
      </c>
      <c r="C6" s="11" t="s">
        <v>18</v>
      </c>
      <c r="D6" s="8" t="str">
        <f t="shared" ca="1" si="2"/>
        <v>Inglés</v>
      </c>
      <c r="E6" s="8" t="s">
        <v>19</v>
      </c>
      <c r="F6" s="8" t="str">
        <f t="shared" ca="1" si="3"/>
        <v>Anglais</v>
      </c>
      <c r="G6" s="8" t="str">
        <f t="shared" ca="1" si="0"/>
        <v>KOMPLETTPAKET</v>
      </c>
      <c r="H6" s="10" t="str">
        <f ca="1">IFERROR(__xludf.DUMMYFUNCTION("GOOGLETRANSLATE(B3,""en"", ""tr"")"),"DOLU PAKET")</f>
        <v>DOLU PAKET</v>
      </c>
      <c r="I6" s="1" t="s">
        <v>2521</v>
      </c>
    </row>
    <row r="7" spans="1:9" ht="15.75" customHeight="1">
      <c r="A7" s="7" t="s">
        <v>5</v>
      </c>
      <c r="B7" s="8" t="str">
        <f t="shared" ca="1" si="1"/>
        <v>Korean</v>
      </c>
      <c r="C7" s="11" t="s">
        <v>20</v>
      </c>
      <c r="D7" s="8" t="str">
        <f t="shared" ca="1" si="2"/>
        <v>Inglés</v>
      </c>
      <c r="E7" s="11" t="s">
        <v>21</v>
      </c>
      <c r="F7" s="8" t="str">
        <f t="shared" ca="1" si="3"/>
        <v>Anglais</v>
      </c>
      <c r="G7" s="8" t="str">
        <f t="shared" ca="1" si="0"/>
        <v>KOMPLETTPAKET</v>
      </c>
      <c r="H7" s="10" t="str">
        <f ca="1">IFERROR(__xludf.DUMMYFUNCTION("GOOGLETRANSLATE(B3,""en"", ""tr"")"),"DOLU PAKET")</f>
        <v>DOLU PAKET</v>
      </c>
      <c r="I7" s="1" t="s">
        <v>2522</v>
      </c>
    </row>
    <row r="8" spans="1:9" ht="15.75" customHeight="1">
      <c r="A8" s="7" t="s">
        <v>7</v>
      </c>
      <c r="B8" s="8" t="str">
        <f t="shared" ca="1" si="1"/>
        <v>Korean</v>
      </c>
      <c r="C8" s="11" t="s">
        <v>22</v>
      </c>
      <c r="D8" s="8" t="str">
        <f t="shared" ca="1" si="2"/>
        <v>Inglés</v>
      </c>
      <c r="E8" s="8" t="s">
        <v>23</v>
      </c>
      <c r="F8" s="8" t="str">
        <f t="shared" ca="1" si="3"/>
        <v>Anglais</v>
      </c>
      <c r="G8" s="8" t="str">
        <f t="shared" ca="1" si="0"/>
        <v>KOMPLETTPAKET</v>
      </c>
      <c r="H8" s="10" t="str">
        <f ca="1">IFERROR(__xludf.DUMMYFUNCTION("GOOGLETRANSLATE(B3,""en"", ""tr"")"),"DOLU PAKET")</f>
        <v>DOLU PAKET</v>
      </c>
      <c r="I8" s="1" t="s">
        <v>2523</v>
      </c>
    </row>
    <row r="9" spans="1:9" ht="15.75" customHeight="1">
      <c r="A9" s="7" t="s">
        <v>6</v>
      </c>
      <c r="B9" s="8" t="str">
        <f t="shared" ca="1" si="1"/>
        <v>Korean</v>
      </c>
      <c r="C9" s="11" t="s">
        <v>24</v>
      </c>
      <c r="D9" s="8" t="str">
        <f t="shared" ca="1" si="2"/>
        <v>Inglés</v>
      </c>
      <c r="E9" s="11" t="s">
        <v>25</v>
      </c>
      <c r="F9" s="8" t="str">
        <f t="shared" ca="1" si="3"/>
        <v>Anglais</v>
      </c>
      <c r="G9" s="8" t="str">
        <f t="shared" ca="1" si="0"/>
        <v>KOMPLETTPAKET</v>
      </c>
      <c r="H9" s="10" t="str">
        <f ca="1">IFERROR(__xludf.DUMMYFUNCTION("GOOGLETRANSLATE(B3,""en"", ""tr"")"),"DOLU PAKET")</f>
        <v>DOLU PAKET</v>
      </c>
      <c r="I9" s="1" t="s">
        <v>2524</v>
      </c>
    </row>
    <row r="10" spans="1:9" ht="15.75" customHeight="1">
      <c r="A10" s="7" t="s">
        <v>3</v>
      </c>
      <c r="B10" s="8" t="str">
        <f t="shared" ca="1" si="1"/>
        <v>Korean</v>
      </c>
      <c r="C10" s="11" t="s">
        <v>26</v>
      </c>
      <c r="D10" s="8" t="str">
        <f t="shared" ca="1" si="2"/>
        <v>Inglés</v>
      </c>
      <c r="E10" s="8" t="s">
        <v>27</v>
      </c>
      <c r="F10" s="8" t="str">
        <f t="shared" ca="1" si="3"/>
        <v>Anglais</v>
      </c>
      <c r="G10" s="8" t="str">
        <f t="shared" ca="1" si="0"/>
        <v>KOMPLETTPAKET</v>
      </c>
      <c r="H10" s="10" t="str">
        <f ca="1">IFERROR(__xludf.DUMMYFUNCTION("GOOGLETRANSLATE(B3,""en"", ""tr"")"),"DOLU PAKET")</f>
        <v>DOLU PAKET</v>
      </c>
      <c r="I10" s="1" t="s">
        <v>2525</v>
      </c>
    </row>
    <row r="11" spans="1:9" ht="15.75" customHeight="1">
      <c r="A11" s="7" t="s">
        <v>28</v>
      </c>
      <c r="B11" s="2" t="s">
        <v>29</v>
      </c>
      <c r="C11" s="8" t="str">
        <f ca="1">IFERROR(__xludf.DUMMYFUNCTION("GOOGLETRANSLATE(B11,""en"", ""ko"")"),"언어")</f>
        <v>언어</v>
      </c>
      <c r="D11" s="8" t="str">
        <f t="shared" ca="1" si="2"/>
        <v>Inglés</v>
      </c>
      <c r="E11" s="8" t="s">
        <v>30</v>
      </c>
      <c r="F11" s="8" t="str">
        <f t="shared" ca="1" si="3"/>
        <v>Anglais</v>
      </c>
      <c r="G11" s="8" t="str">
        <f t="shared" ca="1" si="0"/>
        <v>KOMPLETTPAKET</v>
      </c>
      <c r="H11" s="10" t="str">
        <f ca="1">IFERROR(__xludf.DUMMYFUNCTION("GOOGLETRANSLATE(B3,""en"", ""tr"")"),"DOLU PAKET")</f>
        <v>DOLU PAKET</v>
      </c>
      <c r="I11" s="1" t="s">
        <v>2526</v>
      </c>
    </row>
    <row r="12" spans="1:9" ht="15.75" customHeight="1">
      <c r="A12" s="7" t="s">
        <v>31</v>
      </c>
      <c r="B12" s="2" t="s">
        <v>32</v>
      </c>
      <c r="C12" s="8" t="s">
        <v>33</v>
      </c>
      <c r="D12" s="2" t="s">
        <v>34</v>
      </c>
      <c r="E12" s="2" t="s">
        <v>35</v>
      </c>
      <c r="F12" s="9" t="s">
        <v>32</v>
      </c>
      <c r="G12" s="11" t="s">
        <v>32</v>
      </c>
      <c r="H12" s="10" t="str">
        <f ca="1">IFERROR(__xludf.DUMMYFUNCTION("GOOGLETRANSLATE(B3,""en"", ""tr"")"),"DOLU PAKET")</f>
        <v>DOLU PAKET</v>
      </c>
      <c r="I12" s="1" t="s">
        <v>2527</v>
      </c>
    </row>
    <row r="13" spans="1:9" ht="15.75" customHeight="1">
      <c r="A13" s="7" t="s">
        <v>36</v>
      </c>
      <c r="B13" s="2" t="s">
        <v>37</v>
      </c>
      <c r="C13" s="8" t="s">
        <v>38</v>
      </c>
      <c r="D13" s="2" t="s">
        <v>37</v>
      </c>
      <c r="E13" s="2" t="s">
        <v>39</v>
      </c>
      <c r="F13" s="9" t="s">
        <v>37</v>
      </c>
      <c r="G13" s="8" t="str">
        <f ca="1">IFERROR(__xludf.DUMMYFUNCTION("GOOGLETRANSLATE(B13,""en"", ""de"")"),"OK")</f>
        <v>OK</v>
      </c>
      <c r="H13" s="10" t="str">
        <f ca="1">IFERROR(__xludf.DUMMYFUNCTION("GOOGLETRANSLATE(B3,""en"", ""tr"")"),"DOLU PAKET")</f>
        <v>DOLU PAKET</v>
      </c>
      <c r="I13" s="1" t="s">
        <v>2528</v>
      </c>
    </row>
    <row r="14" spans="1:9" ht="15.75" customHeight="1">
      <c r="A14" s="7" t="s">
        <v>40</v>
      </c>
      <c r="B14" s="2" t="s">
        <v>41</v>
      </c>
      <c r="C14" s="8" t="s">
        <v>42</v>
      </c>
      <c r="D14" s="2" t="s">
        <v>43</v>
      </c>
      <c r="E14" s="2" t="s">
        <v>44</v>
      </c>
      <c r="F14" s="9" t="s">
        <v>45</v>
      </c>
      <c r="G14" s="8" t="str">
        <f ca="1">IFERROR(__xludf.DUMMYFUNCTION("GOOGLETRANSLATE(B13,""en"", ""de"")"),"OK")</f>
        <v>OK</v>
      </c>
      <c r="H14" s="10" t="str">
        <f ca="1">IFERROR(__xludf.DUMMYFUNCTION("GOOGLETRANSLATE(B3,""en"", ""tr"")"),"DOLU PAKET")</f>
        <v>DOLU PAKET</v>
      </c>
      <c r="I14" s="1" t="s">
        <v>2530</v>
      </c>
    </row>
    <row r="15" spans="1:9" ht="15.75" customHeight="1">
      <c r="A15" s="7" t="s">
        <v>46</v>
      </c>
      <c r="B15" s="2" t="s">
        <v>47</v>
      </c>
      <c r="C15" s="8" t="s">
        <v>48</v>
      </c>
      <c r="D15" s="2" t="s">
        <v>49</v>
      </c>
      <c r="E15" s="2" t="s">
        <v>50</v>
      </c>
      <c r="F15" s="9" t="s">
        <v>51</v>
      </c>
      <c r="G15" s="8" t="str">
        <f ca="1">IFERROR(__xludf.DUMMYFUNCTION("GOOGLETRANSLATE(B13,""en"", ""de"")"),"OK")</f>
        <v>OK</v>
      </c>
      <c r="H15" s="10" t="str">
        <f ca="1">IFERROR(__xludf.DUMMYFUNCTION("GOOGLETRANSLATE(B3,""en"", ""tr"")"),"DOLU PAKET")</f>
        <v>DOLU PAKET</v>
      </c>
      <c r="I15" s="1" t="s">
        <v>2529</v>
      </c>
    </row>
    <row r="16" spans="1:9" ht="15.75" customHeight="1">
      <c r="A16" s="7" t="s">
        <v>52</v>
      </c>
      <c r="B16" s="2" t="s">
        <v>53</v>
      </c>
      <c r="C16" s="8" t="s">
        <v>54</v>
      </c>
      <c r="D16" s="2" t="s">
        <v>55</v>
      </c>
      <c r="E16" s="2" t="s">
        <v>56</v>
      </c>
      <c r="F16" s="9" t="s">
        <v>57</v>
      </c>
      <c r="G16" s="2" t="s">
        <v>53</v>
      </c>
      <c r="H16" s="10" t="str">
        <f ca="1">IFERROR(__xludf.DUMMYFUNCTION("GOOGLETRANSLATE(B3,""en"", ""tr"")"),"DOLU PAKET")</f>
        <v>DOLU PAKET</v>
      </c>
      <c r="I16" s="1" t="s">
        <v>2531</v>
      </c>
    </row>
    <row r="17" spans="1:9" ht="15.75" customHeight="1">
      <c r="A17" s="7" t="s">
        <v>58</v>
      </c>
      <c r="B17" s="2" t="s">
        <v>59</v>
      </c>
      <c r="C17" s="8" t="str">
        <f ca="1">IFERROR(__xludf.DUMMYFUNCTION("GOOGLETRANSLATE(B17,""en"", ""ko"")"),"네트워크 재설정")</f>
        <v>네트워크 재설정</v>
      </c>
      <c r="D17" s="8" t="str">
        <f ca="1">IFERROR(__xludf.DUMMYFUNCTION("GOOGLETRANSLATE(B17,""en"", ""es"")"),"Restaurar red")</f>
        <v>Restaurar red</v>
      </c>
      <c r="E17" s="8" t="s">
        <v>60</v>
      </c>
      <c r="F17" s="9" t="s">
        <v>61</v>
      </c>
      <c r="G17" s="8" t="str">
        <f t="shared" ref="G17:G240" ca="1" si="4">IFERROR(__xludf.DUMMYFUNCTION("GOOGLETRANSLATE(B17,""en"", ""de"")"),"Netzwerk-Reset")</f>
        <v>Netzwerk-Reset</v>
      </c>
      <c r="H17" s="10" t="str">
        <f ca="1">IFERROR(__xludf.DUMMYFUNCTION("GOOGLETRANSLATE(B3,""en"", ""tr"")"),"DOLU PAKET")</f>
        <v>DOLU PAKET</v>
      </c>
      <c r="I17" s="1" t="s">
        <v>2532</v>
      </c>
    </row>
    <row r="18" spans="1:9" ht="15.75" customHeight="1">
      <c r="A18" s="7" t="s">
        <v>62</v>
      </c>
      <c r="B18" s="2" t="s">
        <v>63</v>
      </c>
      <c r="C18" s="12" t="s">
        <v>2533</v>
      </c>
      <c r="D18" s="2" t="s">
        <v>64</v>
      </c>
      <c r="E18" s="2" t="s">
        <v>65</v>
      </c>
      <c r="F18" s="9" t="s">
        <v>66</v>
      </c>
      <c r="G18" s="8" t="str">
        <f t="shared" ca="1" si="4"/>
        <v>Netzwerk-Reset</v>
      </c>
      <c r="H18" s="10" t="str">
        <f ca="1">IFERROR(__xludf.DUMMYFUNCTION("GOOGLETRANSLATE(B3,""en"", ""tr"")"),"DOLU PAKET")</f>
        <v>DOLU PAKET</v>
      </c>
      <c r="I18" s="1" t="s">
        <v>2534</v>
      </c>
    </row>
    <row r="19" spans="1:9" ht="15.75" customHeight="1">
      <c r="A19" s="7" t="s">
        <v>67</v>
      </c>
      <c r="B19" s="2" t="s">
        <v>68</v>
      </c>
      <c r="C19" s="8" t="s">
        <v>69</v>
      </c>
      <c r="D19" s="2" t="s">
        <v>70</v>
      </c>
      <c r="E19" s="2" t="s">
        <v>71</v>
      </c>
      <c r="F19" s="9" t="s">
        <v>72</v>
      </c>
      <c r="G19" s="8" t="str">
        <f t="shared" ca="1" si="4"/>
        <v>Netzwerk-Reset</v>
      </c>
      <c r="H19" s="10" t="str">
        <f ca="1">IFERROR(__xludf.DUMMYFUNCTION("GOOGLETRANSLATE(B3,""en"", ""tr"")"),"DOLU PAKET")</f>
        <v>DOLU PAKET</v>
      </c>
      <c r="I19" s="1" t="s">
        <v>2535</v>
      </c>
    </row>
    <row r="20" spans="1:9" ht="15.75" customHeight="1">
      <c r="A20" s="7" t="s">
        <v>73</v>
      </c>
      <c r="B20" s="2" t="s">
        <v>74</v>
      </c>
      <c r="C20" s="8" t="s">
        <v>75</v>
      </c>
      <c r="D20" s="2" t="s">
        <v>76</v>
      </c>
      <c r="E20" s="2" t="s">
        <v>77</v>
      </c>
      <c r="F20" s="9" t="s">
        <v>78</v>
      </c>
      <c r="G20" s="8" t="str">
        <f t="shared" ca="1" si="4"/>
        <v>Netzwerk-Reset</v>
      </c>
      <c r="H20" s="10" t="str">
        <f ca="1">IFERROR(__xludf.DUMMYFUNCTION("GOOGLETRANSLATE(B3,""en"", ""tr"")"),"DOLU PAKET")</f>
        <v>DOLU PAKET</v>
      </c>
      <c r="I20" s="1" t="s">
        <v>2536</v>
      </c>
    </row>
    <row r="21" spans="1:9" ht="15.75" customHeight="1">
      <c r="A21" s="7" t="s">
        <v>79</v>
      </c>
      <c r="B21" s="2" t="s">
        <v>80</v>
      </c>
      <c r="C21" s="8" t="s">
        <v>81</v>
      </c>
      <c r="D21" s="2" t="s">
        <v>82</v>
      </c>
      <c r="E21" s="2" t="s">
        <v>83</v>
      </c>
      <c r="F21" s="9" t="s">
        <v>84</v>
      </c>
      <c r="G21" s="8" t="str">
        <f t="shared" ca="1" si="4"/>
        <v>Netzwerk-Reset</v>
      </c>
      <c r="H21" s="10" t="str">
        <f ca="1">IFERROR(__xludf.DUMMYFUNCTION("GOOGLETRANSLATE(B3,""en"", ""tr"")"),"DOLU PAKET")</f>
        <v>DOLU PAKET</v>
      </c>
      <c r="I21" s="1" t="s">
        <v>2537</v>
      </c>
    </row>
    <row r="22" spans="1:9" ht="15.75" customHeight="1">
      <c r="A22" s="7" t="s">
        <v>85</v>
      </c>
      <c r="B22" s="2" t="s">
        <v>86</v>
      </c>
      <c r="C22" s="8" t="s">
        <v>87</v>
      </c>
      <c r="D22" s="2" t="s">
        <v>88</v>
      </c>
      <c r="E22" s="2" t="s">
        <v>89</v>
      </c>
      <c r="F22" s="9" t="s">
        <v>90</v>
      </c>
      <c r="G22" s="8" t="str">
        <f t="shared" ca="1" si="4"/>
        <v>Netzwerk-Reset</v>
      </c>
      <c r="H22" s="10" t="str">
        <f ca="1">IFERROR(__xludf.DUMMYFUNCTION("GOOGLETRANSLATE(B3,""en"", ""tr"")"),"DOLU PAKET")</f>
        <v>DOLU PAKET</v>
      </c>
      <c r="I22" s="1" t="s">
        <v>2538</v>
      </c>
    </row>
    <row r="23" spans="1:9" ht="15.75" customHeight="1">
      <c r="A23" s="7" t="s">
        <v>91</v>
      </c>
      <c r="B23" s="2" t="s">
        <v>92</v>
      </c>
      <c r="C23" s="8" t="s">
        <v>93</v>
      </c>
      <c r="D23" s="2" t="s">
        <v>94</v>
      </c>
      <c r="E23" s="2" t="s">
        <v>95</v>
      </c>
      <c r="F23" s="9" t="s">
        <v>96</v>
      </c>
      <c r="G23" s="8" t="str">
        <f t="shared" ca="1" si="4"/>
        <v>Netzwerk-Reset</v>
      </c>
      <c r="H23" s="10" t="str">
        <f ca="1">IFERROR(__xludf.DUMMYFUNCTION("GOOGLETRANSLATE(B3,""en"", ""tr"")"),"DOLU PAKET")</f>
        <v>DOLU PAKET</v>
      </c>
      <c r="I23" s="1" t="s">
        <v>2539</v>
      </c>
    </row>
    <row r="24" spans="1:9" ht="15.75" customHeight="1">
      <c r="A24" s="7" t="s">
        <v>97</v>
      </c>
      <c r="B24" s="2" t="s">
        <v>2540</v>
      </c>
      <c r="C24" s="13" t="s">
        <v>2844</v>
      </c>
      <c r="D24" s="11" t="s">
        <v>98</v>
      </c>
      <c r="E24" s="8" t="s">
        <v>99</v>
      </c>
      <c r="F24" s="9" t="s">
        <v>100</v>
      </c>
      <c r="G24" s="8" t="str">
        <f t="shared" ca="1" si="4"/>
        <v>Netzwerk-Reset</v>
      </c>
      <c r="H24" s="10" t="str">
        <f ca="1">IFERROR(__xludf.DUMMYFUNCTION("GOOGLETRANSLATE(B3,""en"", ""tr"")"),"DOLU PAKET")</f>
        <v>DOLU PAKET</v>
      </c>
      <c r="I24" s="14" t="s">
        <v>2845</v>
      </c>
    </row>
    <row r="25" spans="1:9" ht="15.75" customHeight="1">
      <c r="A25" s="7" t="s">
        <v>101</v>
      </c>
      <c r="B25" s="2" t="s">
        <v>102</v>
      </c>
      <c r="C25" s="13" t="s">
        <v>2541</v>
      </c>
      <c r="D25" s="11" t="s">
        <v>103</v>
      </c>
      <c r="E25" s="8" t="s">
        <v>104</v>
      </c>
      <c r="F25" s="9" t="s">
        <v>105</v>
      </c>
      <c r="G25" s="8" t="str">
        <f t="shared" ca="1" si="4"/>
        <v>Netzwerk-Reset</v>
      </c>
      <c r="H25" s="10" t="str">
        <f ca="1">IFERROR(__xludf.DUMMYFUNCTION("GOOGLETRANSLATE(B3,""en"", ""tr"")"),"DOLU PAKET")</f>
        <v>DOLU PAKET</v>
      </c>
      <c r="I25" s="1" t="s">
        <v>2797</v>
      </c>
    </row>
    <row r="26" spans="1:9" ht="15.75" customHeight="1">
      <c r="A26" s="7" t="s">
        <v>106</v>
      </c>
      <c r="B26" s="2" t="s">
        <v>107</v>
      </c>
      <c r="C26" s="11" t="s">
        <v>108</v>
      </c>
      <c r="D26" s="8" t="str">
        <f ca="1">IFERROR(__xludf.DUMMYFUNCTION("GOOGLETRANSLATE(B26,""en"", ""es"")"),"Este soldado ya está contratado.")</f>
        <v>Este soldado ya está contratado.</v>
      </c>
      <c r="E26" s="8" t="s">
        <v>109</v>
      </c>
      <c r="F26" s="9" t="s">
        <v>110</v>
      </c>
      <c r="G26" s="8" t="str">
        <f t="shared" ca="1" si="4"/>
        <v>Netzwerk-Reset</v>
      </c>
      <c r="H26" s="10" t="str">
        <f ca="1">IFERROR(__xludf.DUMMYFUNCTION("GOOGLETRANSLATE(B3,""en"", ""tr"")"),"DOLU PAKET")</f>
        <v>DOLU PAKET</v>
      </c>
      <c r="I26" s="1" t="s">
        <v>2542</v>
      </c>
    </row>
    <row r="27" spans="1:9" ht="15.75" customHeight="1">
      <c r="A27" s="7" t="s">
        <v>111</v>
      </c>
      <c r="B27" s="2" t="s">
        <v>112</v>
      </c>
      <c r="C27" s="8" t="str">
        <f ca="1">IFERROR(__xludf.DUMMYFUNCTION("GOOGLETRANSLATE(B27,""en"", ""ko"")"),"이 병사를 해고 하시겠습니까?")</f>
        <v>이 병사를 해고 하시겠습니까?</v>
      </c>
      <c r="D27" s="11" t="s">
        <v>113</v>
      </c>
      <c r="E27" s="8" t="s">
        <v>114</v>
      </c>
      <c r="F27" s="9" t="s">
        <v>115</v>
      </c>
      <c r="G27" s="8" t="str">
        <f t="shared" ca="1" si="4"/>
        <v>Netzwerk-Reset</v>
      </c>
      <c r="H27" s="10" t="str">
        <f ca="1">IFERROR(__xludf.DUMMYFUNCTION("GOOGLETRANSLATE(B3,""en"", ""tr"")"),"DOLU PAKET")</f>
        <v>DOLU PAKET</v>
      </c>
      <c r="I27" s="1" t="s">
        <v>2543</v>
      </c>
    </row>
    <row r="28" spans="1:9" ht="15.75" customHeight="1">
      <c r="A28" s="7" t="s">
        <v>116</v>
      </c>
      <c r="B28" s="2" t="s">
        <v>117</v>
      </c>
      <c r="C28" s="8" t="str">
        <f ca="1">IFERROR(__xludf.DUMMYFUNCTION("GOOGLETRANSLATE(B27,""en"", ""ko"")"),"이 병사를 해고 하시겠습니까?")</f>
        <v>이 병사를 해고 하시겠습니까?</v>
      </c>
      <c r="D28" s="8" t="str">
        <f t="shared" ref="D28:D35" ca="1" si="5">IFERROR(__xludf.DUMMYFUNCTION("GOOGLETRANSLATE(B28,""en"", ""es"")"),"SÍ")</f>
        <v>SÍ</v>
      </c>
      <c r="E28" s="8" t="s">
        <v>118</v>
      </c>
      <c r="F28" s="9" t="s">
        <v>119</v>
      </c>
      <c r="G28" s="8" t="str">
        <f t="shared" ca="1" si="4"/>
        <v>Netzwerk-Reset</v>
      </c>
      <c r="H28" s="10" t="str">
        <f ca="1">IFERROR(__xludf.DUMMYFUNCTION("GOOGLETRANSLATE(B3,""en"", ""tr"")"),"DOLU PAKET")</f>
        <v>DOLU PAKET</v>
      </c>
      <c r="I28" s="1" t="s">
        <v>2544</v>
      </c>
    </row>
    <row r="29" spans="1:9" ht="16.5">
      <c r="A29" s="7" t="s">
        <v>120</v>
      </c>
      <c r="B29" s="2" t="s">
        <v>121</v>
      </c>
      <c r="C29" s="11" t="s">
        <v>122</v>
      </c>
      <c r="D29" s="8" t="str">
        <f t="shared" ca="1" si="5"/>
        <v>SÍ</v>
      </c>
      <c r="E29" s="8" t="s">
        <v>123</v>
      </c>
      <c r="F29" s="9" t="s">
        <v>124</v>
      </c>
      <c r="G29" s="8" t="str">
        <f t="shared" ca="1" si="4"/>
        <v>Netzwerk-Reset</v>
      </c>
      <c r="H29" s="10" t="str">
        <f ca="1">IFERROR(__xludf.DUMMYFUNCTION("GOOGLETRANSLATE(B3,""en"", ""tr"")"),"DOLU PAKET")</f>
        <v>DOLU PAKET</v>
      </c>
      <c r="I29" s="1" t="s">
        <v>2545</v>
      </c>
    </row>
    <row r="30" spans="1:9" ht="16.5">
      <c r="A30" s="7" t="s">
        <v>125</v>
      </c>
      <c r="B30" s="2" t="s">
        <v>126</v>
      </c>
      <c r="C30" s="11" t="s">
        <v>127</v>
      </c>
      <c r="D30" s="8" t="str">
        <f t="shared" ca="1" si="5"/>
        <v>SÍ</v>
      </c>
      <c r="E30" s="8" t="s">
        <v>128</v>
      </c>
      <c r="F30" s="9" t="s">
        <v>129</v>
      </c>
      <c r="G30" s="8" t="str">
        <f t="shared" ca="1" si="4"/>
        <v>Netzwerk-Reset</v>
      </c>
      <c r="H30" s="10" t="str">
        <f ca="1">IFERROR(__xludf.DUMMYFUNCTION("GOOGLETRANSLATE(B3,""en"", ""tr"")"),"DOLU PAKET")</f>
        <v>DOLU PAKET</v>
      </c>
      <c r="I30" s="1" t="s">
        <v>2546</v>
      </c>
    </row>
    <row r="31" spans="1:9" ht="16.5">
      <c r="A31" s="7" t="s">
        <v>130</v>
      </c>
      <c r="B31" s="2" t="s">
        <v>131</v>
      </c>
      <c r="C31" s="11" t="s">
        <v>132</v>
      </c>
      <c r="D31" s="8" t="str">
        <f t="shared" ca="1" si="5"/>
        <v>SÍ</v>
      </c>
      <c r="E31" s="8" t="s">
        <v>133</v>
      </c>
      <c r="F31" s="9" t="s">
        <v>134</v>
      </c>
      <c r="G31" s="8" t="str">
        <f t="shared" ca="1" si="4"/>
        <v>Netzwerk-Reset</v>
      </c>
      <c r="H31" s="10" t="str">
        <f ca="1">IFERROR(__xludf.DUMMYFUNCTION("GOOGLETRANSLATE(B3,""en"", ""tr"")"),"DOLU PAKET")</f>
        <v>DOLU PAKET</v>
      </c>
      <c r="I31" s="1" t="s">
        <v>2547</v>
      </c>
    </row>
    <row r="32" spans="1:9" ht="16.5">
      <c r="A32" s="7" t="s">
        <v>135</v>
      </c>
      <c r="B32" s="2" t="s">
        <v>136</v>
      </c>
      <c r="C32" s="11" t="s">
        <v>137</v>
      </c>
      <c r="D32" s="8" t="str">
        <f t="shared" ca="1" si="5"/>
        <v>SÍ</v>
      </c>
      <c r="E32" s="8" t="s">
        <v>138</v>
      </c>
      <c r="F32" s="9" t="s">
        <v>139</v>
      </c>
      <c r="G32" s="8" t="str">
        <f t="shared" ca="1" si="4"/>
        <v>Netzwerk-Reset</v>
      </c>
      <c r="H32" s="10" t="str">
        <f ca="1">IFERROR(__xludf.DUMMYFUNCTION("GOOGLETRANSLATE(B3,""en"", ""tr"")"),"DOLU PAKET")</f>
        <v>DOLU PAKET</v>
      </c>
      <c r="I32" s="1" t="s">
        <v>2548</v>
      </c>
    </row>
    <row r="33" spans="1:9" ht="33">
      <c r="A33" s="7" t="s">
        <v>140</v>
      </c>
      <c r="B33" s="2" t="s">
        <v>141</v>
      </c>
      <c r="C33" s="11" t="s">
        <v>142</v>
      </c>
      <c r="D33" s="8" t="str">
        <f t="shared" ca="1" si="5"/>
        <v>SÍ</v>
      </c>
      <c r="E33" s="11" t="s">
        <v>143</v>
      </c>
      <c r="F33" s="9" t="s">
        <v>144</v>
      </c>
      <c r="G33" s="8" t="str">
        <f t="shared" ca="1" si="4"/>
        <v>Netzwerk-Reset</v>
      </c>
      <c r="H33" s="10" t="str">
        <f ca="1">IFERROR(__xludf.DUMMYFUNCTION("GOOGLETRANSLATE(B3,""en"", ""tr"")"),"DOLU PAKET")</f>
        <v>DOLU PAKET</v>
      </c>
      <c r="I33" s="1" t="s">
        <v>2549</v>
      </c>
    </row>
    <row r="34" spans="1:9" ht="16.5">
      <c r="A34" s="7" t="s">
        <v>145</v>
      </c>
      <c r="B34" s="2" t="s">
        <v>2550</v>
      </c>
      <c r="C34" s="11" t="s">
        <v>146</v>
      </c>
      <c r="D34" s="8" t="str">
        <f t="shared" ca="1" si="5"/>
        <v>SÍ</v>
      </c>
      <c r="E34" s="8" t="s">
        <v>147</v>
      </c>
      <c r="F34" s="9" t="s">
        <v>148</v>
      </c>
      <c r="G34" s="8" t="str">
        <f t="shared" ca="1" si="4"/>
        <v>Netzwerk-Reset</v>
      </c>
      <c r="H34" s="10" t="str">
        <f ca="1">IFERROR(__xludf.DUMMYFUNCTION("GOOGLETRANSLATE(B3,""en"", ""tr"")"),"DOLU PAKET")</f>
        <v>DOLU PAKET</v>
      </c>
      <c r="I34" s="1" t="s">
        <v>2551</v>
      </c>
    </row>
    <row r="35" spans="1:9" ht="16.5">
      <c r="A35" s="7" t="s">
        <v>149</v>
      </c>
      <c r="B35" s="2" t="s">
        <v>150</v>
      </c>
      <c r="C35" s="8" t="str">
        <f ca="1">IFERROR(__xludf.DUMMYFUNCTION("GOOGLETRANSLATE(B35,""en"", ""ko"")"),"항복")</f>
        <v>항복</v>
      </c>
      <c r="D35" s="8" t="str">
        <f t="shared" ca="1" si="5"/>
        <v>SÍ</v>
      </c>
      <c r="E35" s="8" t="s">
        <v>151</v>
      </c>
      <c r="F35" s="9" t="s">
        <v>152</v>
      </c>
      <c r="G35" s="8" t="str">
        <f t="shared" ca="1" si="4"/>
        <v>Netzwerk-Reset</v>
      </c>
      <c r="H35" s="10" t="str">
        <f ca="1">IFERROR(__xludf.DUMMYFUNCTION("GOOGLETRANSLATE(B3,""en"", ""tr"")"),"DOLU PAKET")</f>
        <v>DOLU PAKET</v>
      </c>
      <c r="I35" s="1" t="s">
        <v>2555</v>
      </c>
    </row>
    <row r="36" spans="1:9" ht="16.5">
      <c r="A36" s="7" t="s">
        <v>153</v>
      </c>
      <c r="B36" s="2" t="s">
        <v>154</v>
      </c>
      <c r="C36" s="8" t="s">
        <v>2552</v>
      </c>
      <c r="D36" s="11" t="s">
        <v>155</v>
      </c>
      <c r="E36" s="8" t="s">
        <v>156</v>
      </c>
      <c r="F36" s="9" t="s">
        <v>157</v>
      </c>
      <c r="G36" s="8" t="str">
        <f t="shared" ca="1" si="4"/>
        <v>Netzwerk-Reset</v>
      </c>
      <c r="H36" s="10" t="str">
        <f ca="1">IFERROR(__xludf.DUMMYFUNCTION("GOOGLETRANSLATE(B3,""en"", ""tr"")"),"DOLU PAKET")</f>
        <v>DOLU PAKET</v>
      </c>
      <c r="I36" s="1" t="s">
        <v>2556</v>
      </c>
    </row>
    <row r="37" spans="1:9" ht="33">
      <c r="A37" s="7" t="s">
        <v>158</v>
      </c>
      <c r="B37" s="2" t="s">
        <v>159</v>
      </c>
      <c r="C37" s="8" t="s">
        <v>2553</v>
      </c>
      <c r="D37" s="11" t="s">
        <v>160</v>
      </c>
      <c r="E37" s="8" t="s">
        <v>161</v>
      </c>
      <c r="F37" s="9" t="s">
        <v>162</v>
      </c>
      <c r="G37" s="8" t="str">
        <f t="shared" ca="1" si="4"/>
        <v>Netzwerk-Reset</v>
      </c>
      <c r="H37" s="10" t="str">
        <f ca="1">IFERROR(__xludf.DUMMYFUNCTION("GOOGLETRANSLATE(B3,""en"", ""tr"")"),"DOLU PAKET")</f>
        <v>DOLU PAKET</v>
      </c>
      <c r="I37" s="1" t="s">
        <v>2557</v>
      </c>
    </row>
    <row r="38" spans="1:9" ht="25.5">
      <c r="A38" s="7" t="s">
        <v>163</v>
      </c>
      <c r="B38" s="2" t="s">
        <v>164</v>
      </c>
      <c r="C38" s="8" t="s">
        <v>2554</v>
      </c>
      <c r="D38" s="8" t="str">
        <f ca="1">IFERROR(__xludf.DUMMYFUNCTION("GOOGLETRANSLATE(B38,""en"", ""es"")"),"No hay ningún soldado para atacar.")</f>
        <v>No hay ningún soldado para atacar.</v>
      </c>
      <c r="E38" s="8" t="s">
        <v>165</v>
      </c>
      <c r="F38" s="9" t="s">
        <v>166</v>
      </c>
      <c r="G38" s="8" t="str">
        <f t="shared" ca="1" si="4"/>
        <v>Netzwerk-Reset</v>
      </c>
      <c r="H38" s="10" t="str">
        <f ca="1">IFERROR(__xludf.DUMMYFUNCTION("GOOGLETRANSLATE(B3,""en"", ""tr"")"),"DOLU PAKET")</f>
        <v>DOLU PAKET</v>
      </c>
      <c r="I38" s="1" t="s">
        <v>2558</v>
      </c>
    </row>
    <row r="39" spans="1:9" ht="25.5">
      <c r="A39" s="7" t="s">
        <v>167</v>
      </c>
      <c r="B39" s="2" t="s">
        <v>168</v>
      </c>
      <c r="C39" s="11" t="s">
        <v>169</v>
      </c>
      <c r="D39" s="8" t="str">
        <f ca="1">IFERROR(__xludf.DUMMYFUNCTION("GOOGLETRANSLATE(B38,""en"", ""es"")"),"No hay ningún soldado para atacar.")</f>
        <v>No hay ningún soldado para atacar.</v>
      </c>
      <c r="E39" s="8" t="s">
        <v>170</v>
      </c>
      <c r="F39" s="9" t="s">
        <v>171</v>
      </c>
      <c r="G39" s="8" t="str">
        <f t="shared" ca="1" si="4"/>
        <v>Netzwerk-Reset</v>
      </c>
      <c r="H39" s="10" t="str">
        <f ca="1">IFERROR(__xludf.DUMMYFUNCTION("GOOGLETRANSLATE(B3,""en"", ""tr"")"),"DOLU PAKET")</f>
        <v>DOLU PAKET</v>
      </c>
      <c r="I39" s="1" t="s">
        <v>2559</v>
      </c>
    </row>
    <row r="40" spans="1:9" ht="16.5">
      <c r="A40" s="7" t="s">
        <v>172</v>
      </c>
      <c r="B40" s="2" t="s">
        <v>173</v>
      </c>
      <c r="C40" s="11" t="s">
        <v>174</v>
      </c>
      <c r="D40" s="11" t="s">
        <v>175</v>
      </c>
      <c r="E40" s="8" t="s">
        <v>176</v>
      </c>
      <c r="F40" s="9" t="s">
        <v>177</v>
      </c>
      <c r="G40" s="8" t="str">
        <f t="shared" ca="1" si="4"/>
        <v>Netzwerk-Reset</v>
      </c>
      <c r="H40" s="10" t="str">
        <f ca="1">IFERROR(__xludf.DUMMYFUNCTION("GOOGLETRANSLATE(B3,""en"", ""tr"")"),"DOLU PAKET")</f>
        <v>DOLU PAKET</v>
      </c>
      <c r="I40" s="1" t="s">
        <v>2560</v>
      </c>
    </row>
    <row r="41" spans="1:9" ht="16.5">
      <c r="A41" s="7" t="s">
        <v>178</v>
      </c>
      <c r="B41" s="2" t="s">
        <v>179</v>
      </c>
      <c r="C41" s="8" t="str">
        <f ca="1">IFERROR(__xludf.DUMMYFUNCTION("GOOGLETRANSLATE(B41,""en"", ""ko"")"),"상위 순위")</f>
        <v>상위 순위</v>
      </c>
      <c r="D41" s="11" t="s">
        <v>180</v>
      </c>
      <c r="E41" s="8" t="s">
        <v>181</v>
      </c>
      <c r="F41" s="9" t="s">
        <v>182</v>
      </c>
      <c r="G41" s="8" t="str">
        <f t="shared" ca="1" si="4"/>
        <v>Netzwerk-Reset</v>
      </c>
      <c r="H41" s="10" t="str">
        <f ca="1">IFERROR(__xludf.DUMMYFUNCTION("GOOGLETRANSLATE(B3,""en"", ""tr"")"),"DOLU PAKET")</f>
        <v>DOLU PAKET</v>
      </c>
      <c r="I41" s="1" t="s">
        <v>2561</v>
      </c>
    </row>
    <row r="42" spans="1:9" ht="16.5">
      <c r="A42" s="7" t="s">
        <v>183</v>
      </c>
      <c r="B42" s="2" t="s">
        <v>184</v>
      </c>
      <c r="C42" s="8" t="s">
        <v>2562</v>
      </c>
      <c r="D42" s="8" t="str">
        <f t="shared" ref="D42:D47" ca="1" si="6">IFERROR(__xludf.DUMMYFUNCTION("GOOGLETRANSLATE(B42,""en"", ""es"")"),"VISITAR")</f>
        <v>VISITAR</v>
      </c>
      <c r="E42" s="8" t="s">
        <v>185</v>
      </c>
      <c r="F42" s="9" t="s">
        <v>186</v>
      </c>
      <c r="G42" s="8" t="str">
        <f t="shared" ca="1" si="4"/>
        <v>Netzwerk-Reset</v>
      </c>
      <c r="H42" s="10" t="str">
        <f ca="1">IFERROR(__xludf.DUMMYFUNCTION("GOOGLETRANSLATE(B3,""en"", ""tr"")"),"DOLU PAKET")</f>
        <v>DOLU PAKET</v>
      </c>
      <c r="I42" s="1" t="s">
        <v>2581</v>
      </c>
    </row>
    <row r="43" spans="1:9" ht="16.5">
      <c r="A43" s="7" t="s">
        <v>187</v>
      </c>
      <c r="B43" s="2" t="s">
        <v>188</v>
      </c>
      <c r="C43" s="8" t="s">
        <v>2563</v>
      </c>
      <c r="D43" s="8" t="str">
        <f t="shared" ca="1" si="6"/>
        <v>VISITAR</v>
      </c>
      <c r="E43" s="8" t="s">
        <v>189</v>
      </c>
      <c r="F43" s="9" t="s">
        <v>190</v>
      </c>
      <c r="G43" s="8" t="str">
        <f t="shared" ca="1" si="4"/>
        <v>Netzwerk-Reset</v>
      </c>
      <c r="H43" s="10" t="str">
        <f ca="1">IFERROR(__xludf.DUMMYFUNCTION("GOOGLETRANSLATE(B3,""en"", ""tr"")"),"DOLU PAKET")</f>
        <v>DOLU PAKET</v>
      </c>
      <c r="I43" s="1" t="s">
        <v>2582</v>
      </c>
    </row>
    <row r="44" spans="1:9" ht="16.5">
      <c r="A44" s="7" t="s">
        <v>191</v>
      </c>
      <c r="B44" s="2" t="s">
        <v>192</v>
      </c>
      <c r="C44" s="11" t="s">
        <v>193</v>
      </c>
      <c r="D44" s="8" t="str">
        <f t="shared" ca="1" si="6"/>
        <v>VISITAR</v>
      </c>
      <c r="E44" s="8" t="s">
        <v>194</v>
      </c>
      <c r="F44" s="9" t="s">
        <v>195</v>
      </c>
      <c r="G44" s="8" t="str">
        <f t="shared" ca="1" si="4"/>
        <v>Netzwerk-Reset</v>
      </c>
      <c r="H44" s="10" t="str">
        <f ca="1">IFERROR(__xludf.DUMMYFUNCTION("GOOGLETRANSLATE(B3,""en"", ""tr"")"),"DOLU PAKET")</f>
        <v>DOLU PAKET</v>
      </c>
      <c r="I44" s="1" t="s">
        <v>2583</v>
      </c>
    </row>
    <row r="45" spans="1:9" ht="16.5">
      <c r="A45" s="7" t="s">
        <v>196</v>
      </c>
      <c r="B45" s="2" t="s">
        <v>197</v>
      </c>
      <c r="C45" s="8" t="s">
        <v>2564</v>
      </c>
      <c r="D45" s="8" t="str">
        <f t="shared" ca="1" si="6"/>
        <v>VISITAR</v>
      </c>
      <c r="E45" s="8" t="s">
        <v>198</v>
      </c>
      <c r="F45" s="9" t="s">
        <v>199</v>
      </c>
      <c r="G45" s="8" t="str">
        <f t="shared" ca="1" si="4"/>
        <v>Netzwerk-Reset</v>
      </c>
      <c r="H45" s="10" t="str">
        <f ca="1">IFERROR(__xludf.DUMMYFUNCTION("GOOGLETRANSLATE(B3,""en"", ""tr"")"),"DOLU PAKET")</f>
        <v>DOLU PAKET</v>
      </c>
      <c r="I45" s="1" t="s">
        <v>2586</v>
      </c>
    </row>
    <row r="46" spans="1:9" ht="16.5">
      <c r="A46" s="7" t="s">
        <v>200</v>
      </c>
      <c r="B46" s="2" t="s">
        <v>200</v>
      </c>
      <c r="C46" s="8" t="s">
        <v>2565</v>
      </c>
      <c r="D46" s="8" t="str">
        <f t="shared" ca="1" si="6"/>
        <v>VISITAR</v>
      </c>
      <c r="E46" s="8" t="s">
        <v>201</v>
      </c>
      <c r="F46" s="9" t="s">
        <v>202</v>
      </c>
      <c r="G46" s="8" t="str">
        <f t="shared" ca="1" si="4"/>
        <v>Netzwerk-Reset</v>
      </c>
      <c r="H46" s="10" t="str">
        <f ca="1">IFERROR(__xludf.DUMMYFUNCTION("GOOGLETRANSLATE(B3,""en"", ""tr"")"),"DOLU PAKET")</f>
        <v>DOLU PAKET</v>
      </c>
      <c r="I46" s="1" t="s">
        <v>2584</v>
      </c>
    </row>
    <row r="47" spans="1:9" ht="16.5">
      <c r="A47" s="7" t="s">
        <v>203</v>
      </c>
      <c r="B47" s="2" t="s">
        <v>203</v>
      </c>
      <c r="C47" s="8" t="s">
        <v>2566</v>
      </c>
      <c r="D47" s="8" t="str">
        <f t="shared" ca="1" si="6"/>
        <v>VISITAR</v>
      </c>
      <c r="E47" s="8" t="s">
        <v>204</v>
      </c>
      <c r="F47" s="9" t="s">
        <v>205</v>
      </c>
      <c r="G47" s="8" t="str">
        <f t="shared" ca="1" si="4"/>
        <v>Netzwerk-Reset</v>
      </c>
      <c r="H47" s="10" t="str">
        <f ca="1">IFERROR(__xludf.DUMMYFUNCTION("GOOGLETRANSLATE(B3,""en"", ""tr"")"),"DOLU PAKET")</f>
        <v>DOLU PAKET</v>
      </c>
      <c r="I47" s="1" t="s">
        <v>2585</v>
      </c>
    </row>
    <row r="48" spans="1:9" ht="25.5">
      <c r="A48" s="7" t="s">
        <v>2587</v>
      </c>
      <c r="B48" s="2" t="s">
        <v>206</v>
      </c>
      <c r="C48" s="8" t="s">
        <v>2567</v>
      </c>
      <c r="D48" s="11" t="s">
        <v>207</v>
      </c>
      <c r="E48" s="8" t="s">
        <v>208</v>
      </c>
      <c r="F48" s="9" t="s">
        <v>209</v>
      </c>
      <c r="G48" s="8" t="str">
        <f t="shared" ca="1" si="4"/>
        <v>Netzwerk-Reset</v>
      </c>
      <c r="H48" s="10" t="str">
        <f ca="1">IFERROR(__xludf.DUMMYFUNCTION("GOOGLETRANSLATE(B3,""en"", ""tr"")"),"DOLU PAKET")</f>
        <v>DOLU PAKET</v>
      </c>
      <c r="I48" s="1" t="s">
        <v>2919</v>
      </c>
    </row>
    <row r="49" spans="1:9" ht="16.5">
      <c r="A49" s="7" t="s">
        <v>210</v>
      </c>
      <c r="B49" s="2" t="s">
        <v>211</v>
      </c>
      <c r="C49" s="8" t="s">
        <v>2568</v>
      </c>
      <c r="D49" s="11" t="s">
        <v>212</v>
      </c>
      <c r="E49" s="8" t="s">
        <v>213</v>
      </c>
      <c r="F49" s="9" t="s">
        <v>214</v>
      </c>
      <c r="G49" s="8" t="str">
        <f t="shared" ca="1" si="4"/>
        <v>Netzwerk-Reset</v>
      </c>
      <c r="H49" s="10" t="str">
        <f ca="1">IFERROR(__xludf.DUMMYFUNCTION("GOOGLETRANSLATE(B3,""en"", ""tr"")"),"DOLU PAKET")</f>
        <v>DOLU PAKET</v>
      </c>
      <c r="I49" s="1" t="s">
        <v>2588</v>
      </c>
    </row>
    <row r="50" spans="1:9" ht="25.5">
      <c r="A50" s="7" t="s">
        <v>215</v>
      </c>
      <c r="B50" s="2" t="s">
        <v>216</v>
      </c>
      <c r="C50" s="11" t="s">
        <v>217</v>
      </c>
      <c r="D50" s="11" t="s">
        <v>218</v>
      </c>
      <c r="E50" s="8" t="s">
        <v>219</v>
      </c>
      <c r="F50" s="9" t="s">
        <v>220</v>
      </c>
      <c r="G50" s="8" t="str">
        <f t="shared" ca="1" si="4"/>
        <v>Netzwerk-Reset</v>
      </c>
      <c r="H50" s="10" t="str">
        <f ca="1">IFERROR(__xludf.DUMMYFUNCTION("GOOGLETRANSLATE(B3,""en"", ""tr"")"),"DOLU PAKET")</f>
        <v>DOLU PAKET</v>
      </c>
      <c r="I50" s="1" t="s">
        <v>2589</v>
      </c>
    </row>
    <row r="51" spans="1:9" ht="16.5">
      <c r="A51" s="7" t="s">
        <v>221</v>
      </c>
      <c r="B51" s="2" t="s">
        <v>222</v>
      </c>
      <c r="C51" s="8" t="s">
        <v>2569</v>
      </c>
      <c r="D51" s="11" t="s">
        <v>223</v>
      </c>
      <c r="E51" s="8" t="s">
        <v>224</v>
      </c>
      <c r="F51" s="9" t="s">
        <v>225</v>
      </c>
      <c r="G51" s="8" t="str">
        <f t="shared" ca="1" si="4"/>
        <v>Netzwerk-Reset</v>
      </c>
      <c r="H51" s="10" t="str">
        <f ca="1">IFERROR(__xludf.DUMMYFUNCTION("GOOGLETRANSLATE(B3,""en"", ""tr"")"),"DOLU PAKET")</f>
        <v>DOLU PAKET</v>
      </c>
      <c r="I51" s="1" t="s">
        <v>2590</v>
      </c>
    </row>
    <row r="52" spans="1:9" ht="16.5">
      <c r="A52" s="7" t="s">
        <v>226</v>
      </c>
      <c r="B52" s="2" t="s">
        <v>227</v>
      </c>
      <c r="C52" s="12" t="s">
        <v>2580</v>
      </c>
      <c r="D52" s="11" t="s">
        <v>228</v>
      </c>
      <c r="E52" s="8" t="s">
        <v>229</v>
      </c>
      <c r="F52" s="9" t="s">
        <v>230</v>
      </c>
      <c r="G52" s="8" t="str">
        <f t="shared" ca="1" si="4"/>
        <v>Netzwerk-Reset</v>
      </c>
      <c r="H52" s="10" t="str">
        <f ca="1">IFERROR(__xludf.DUMMYFUNCTION("GOOGLETRANSLATE(B3,""en"", ""tr"")"),"DOLU PAKET")</f>
        <v>DOLU PAKET</v>
      </c>
      <c r="I52" s="1" t="s">
        <v>2591</v>
      </c>
    </row>
    <row r="53" spans="1:9" ht="16.5">
      <c r="A53" s="7" t="s">
        <v>231</v>
      </c>
      <c r="B53" s="2" t="s">
        <v>232</v>
      </c>
      <c r="C53" s="8" t="s">
        <v>2570</v>
      </c>
      <c r="D53" s="11" t="s">
        <v>233</v>
      </c>
      <c r="E53" s="8" t="s">
        <v>234</v>
      </c>
      <c r="F53" s="9" t="s">
        <v>235</v>
      </c>
      <c r="G53" s="8" t="str">
        <f t="shared" ca="1" si="4"/>
        <v>Netzwerk-Reset</v>
      </c>
      <c r="H53" s="10" t="str">
        <f ca="1">IFERROR(__xludf.DUMMYFUNCTION("GOOGLETRANSLATE(B3,""en"", ""tr"")"),"DOLU PAKET")</f>
        <v>DOLU PAKET</v>
      </c>
      <c r="I53" s="1" t="s">
        <v>2592</v>
      </c>
    </row>
    <row r="54" spans="1:9" ht="16.5">
      <c r="A54" s="7" t="s">
        <v>236</v>
      </c>
      <c r="B54" s="2" t="s">
        <v>237</v>
      </c>
      <c r="C54" s="8" t="s">
        <v>2571</v>
      </c>
      <c r="D54" s="11" t="s">
        <v>238</v>
      </c>
      <c r="E54" s="8" t="s">
        <v>239</v>
      </c>
      <c r="F54" s="9" t="s">
        <v>240</v>
      </c>
      <c r="G54" s="8" t="str">
        <f t="shared" ca="1" si="4"/>
        <v>Netzwerk-Reset</v>
      </c>
      <c r="H54" s="10" t="str">
        <f ca="1">IFERROR(__xludf.DUMMYFUNCTION("GOOGLETRANSLATE(B3,""en"", ""tr"")"),"DOLU PAKET")</f>
        <v>DOLU PAKET</v>
      </c>
      <c r="I54" s="1" t="s">
        <v>2593</v>
      </c>
    </row>
    <row r="55" spans="1:9" ht="16.5">
      <c r="A55" s="7" t="s">
        <v>241</v>
      </c>
      <c r="B55" s="2" t="s">
        <v>242</v>
      </c>
      <c r="C55" s="11" t="s">
        <v>243</v>
      </c>
      <c r="D55" s="11" t="s">
        <v>244</v>
      </c>
      <c r="E55" s="8" t="s">
        <v>245</v>
      </c>
      <c r="F55" s="9" t="s">
        <v>246</v>
      </c>
      <c r="G55" s="8" t="str">
        <f t="shared" ca="1" si="4"/>
        <v>Netzwerk-Reset</v>
      </c>
      <c r="H55" s="10" t="str">
        <f ca="1">IFERROR(__xludf.DUMMYFUNCTION("GOOGLETRANSLATE(B3,""en"", ""tr"")"),"DOLU PAKET")</f>
        <v>DOLU PAKET</v>
      </c>
      <c r="I55" s="1" t="s">
        <v>2594</v>
      </c>
    </row>
    <row r="56" spans="1:9" ht="16.5">
      <c r="A56" s="7" t="s">
        <v>247</v>
      </c>
      <c r="B56" s="2" t="s">
        <v>248</v>
      </c>
      <c r="C56" s="8" t="s">
        <v>2572</v>
      </c>
      <c r="D56" s="11" t="s">
        <v>249</v>
      </c>
      <c r="E56" s="11" t="s">
        <v>250</v>
      </c>
      <c r="F56" s="9" t="s">
        <v>251</v>
      </c>
      <c r="G56" s="8" t="str">
        <f t="shared" ca="1" si="4"/>
        <v>Netzwerk-Reset</v>
      </c>
      <c r="H56" s="10" t="str">
        <f ca="1">IFERROR(__xludf.DUMMYFUNCTION("GOOGLETRANSLATE(B3,""en"", ""tr"")"),"DOLU PAKET")</f>
        <v>DOLU PAKET</v>
      </c>
      <c r="I56" s="1" t="s">
        <v>2595</v>
      </c>
    </row>
    <row r="57" spans="1:9" ht="16.5">
      <c r="A57" s="7" t="s">
        <v>252</v>
      </c>
      <c r="B57" s="2" t="s">
        <v>253</v>
      </c>
      <c r="C57" s="8" t="s">
        <v>2573</v>
      </c>
      <c r="D57" s="8" t="str">
        <f ca="1">IFERROR(__xludf.DUMMYFUNCTION("GOOGLETRANSLATE(B57,""en"", ""es"")"),"Misión diaria")</f>
        <v>Misión diaria</v>
      </c>
      <c r="E57" s="8" t="s">
        <v>254</v>
      </c>
      <c r="F57" s="9" t="s">
        <v>255</v>
      </c>
      <c r="G57" s="8" t="str">
        <f t="shared" ca="1" si="4"/>
        <v>Netzwerk-Reset</v>
      </c>
      <c r="H57" s="10" t="str">
        <f ca="1">IFERROR(__xludf.DUMMYFUNCTION("GOOGLETRANSLATE(B3,""en"", ""tr"")"),"DOLU PAKET")</f>
        <v>DOLU PAKET</v>
      </c>
      <c r="I57" s="1" t="s">
        <v>2596</v>
      </c>
    </row>
    <row r="58" spans="1:9" ht="16.5">
      <c r="A58" s="7" t="s">
        <v>256</v>
      </c>
      <c r="B58" s="2" t="s">
        <v>257</v>
      </c>
      <c r="C58" s="8" t="s">
        <v>2574</v>
      </c>
      <c r="D58" s="8" t="str">
        <f ca="1">IFERROR(__xludf.DUMMYFUNCTION("GOOGLETRANSLATE(B57,""en"", ""es"")"),"Misión diaria")</f>
        <v>Misión diaria</v>
      </c>
      <c r="E58" s="8" t="s">
        <v>258</v>
      </c>
      <c r="F58" s="9" t="s">
        <v>259</v>
      </c>
      <c r="G58" s="8" t="str">
        <f t="shared" ca="1" si="4"/>
        <v>Netzwerk-Reset</v>
      </c>
      <c r="H58" s="10" t="str">
        <f ca="1">IFERROR(__xludf.DUMMYFUNCTION("GOOGLETRANSLATE(B3,""en"", ""tr"")"),"DOLU PAKET")</f>
        <v>DOLU PAKET</v>
      </c>
      <c r="I58" s="1" t="s">
        <v>2597</v>
      </c>
    </row>
    <row r="59" spans="1:9" ht="16.5">
      <c r="A59" s="7" t="s">
        <v>260</v>
      </c>
      <c r="B59" s="2" t="s">
        <v>261</v>
      </c>
      <c r="C59" s="11" t="s">
        <v>262</v>
      </c>
      <c r="D59" s="8" t="str">
        <f ca="1">IFERROR(__xludf.DUMMYFUNCTION("GOOGLETRANSLATE(B57,""en"", ""es"")"),"Misión diaria")</f>
        <v>Misión diaria</v>
      </c>
      <c r="E59" s="8" t="s">
        <v>263</v>
      </c>
      <c r="F59" s="9" t="s">
        <v>264</v>
      </c>
      <c r="G59" s="8" t="str">
        <f t="shared" ca="1" si="4"/>
        <v>Netzwerk-Reset</v>
      </c>
      <c r="H59" s="10" t="str">
        <f ca="1">IFERROR(__xludf.DUMMYFUNCTION("GOOGLETRANSLATE(B3,""en"", ""tr"")"),"DOLU PAKET")</f>
        <v>DOLU PAKET</v>
      </c>
      <c r="I59" s="1"/>
    </row>
    <row r="60" spans="1:9" ht="51">
      <c r="A60" s="7" t="s">
        <v>265</v>
      </c>
      <c r="B60" s="2" t="s">
        <v>266</v>
      </c>
      <c r="C60" s="11" t="s">
        <v>267</v>
      </c>
      <c r="D60" s="11" t="s">
        <v>268</v>
      </c>
      <c r="E60" s="8" t="s">
        <v>269</v>
      </c>
      <c r="F60" s="9" t="s">
        <v>270</v>
      </c>
      <c r="G60" s="8" t="str">
        <f t="shared" ca="1" si="4"/>
        <v>Netzwerk-Reset</v>
      </c>
      <c r="H60" s="10" t="str">
        <f ca="1">IFERROR(__xludf.DUMMYFUNCTION("GOOGLETRANSLATE(B3,""en"", ""tr"")"),"DOLU PAKET")</f>
        <v>DOLU PAKET</v>
      </c>
      <c r="I60" s="1"/>
    </row>
    <row r="61" spans="1:9" ht="38.25">
      <c r="A61" s="7" t="s">
        <v>271</v>
      </c>
      <c r="B61" s="2" t="s">
        <v>272</v>
      </c>
      <c r="C61" s="8" t="s">
        <v>2575</v>
      </c>
      <c r="D61" s="11" t="s">
        <v>273</v>
      </c>
      <c r="E61" s="8" t="s">
        <v>274</v>
      </c>
      <c r="F61" s="9" t="s">
        <v>275</v>
      </c>
      <c r="G61" s="8" t="str">
        <f t="shared" ca="1" si="4"/>
        <v>Netzwerk-Reset</v>
      </c>
      <c r="H61" s="10" t="str">
        <f ca="1">IFERROR(__xludf.DUMMYFUNCTION("GOOGLETRANSLATE(B3,""en"", ""tr"")"),"DOLU PAKET")</f>
        <v>DOLU PAKET</v>
      </c>
      <c r="I61" s="1" t="s">
        <v>2598</v>
      </c>
    </row>
    <row r="62" spans="1:9" ht="25.5">
      <c r="A62" s="7" t="s">
        <v>276</v>
      </c>
      <c r="B62" s="2" t="s">
        <v>277</v>
      </c>
      <c r="C62" s="8" t="s">
        <v>2576</v>
      </c>
      <c r="D62" s="11" t="s">
        <v>278</v>
      </c>
      <c r="E62" s="8" t="s">
        <v>279</v>
      </c>
      <c r="F62" s="9" t="s">
        <v>280</v>
      </c>
      <c r="G62" s="8" t="str">
        <f t="shared" ca="1" si="4"/>
        <v>Netzwerk-Reset</v>
      </c>
      <c r="H62" s="10" t="str">
        <f ca="1">IFERROR(__xludf.DUMMYFUNCTION("GOOGLETRANSLATE(B3,""en"", ""tr"")"),"DOLU PAKET")</f>
        <v>DOLU PAKET</v>
      </c>
      <c r="I62" s="1" t="s">
        <v>2599</v>
      </c>
    </row>
    <row r="63" spans="1:9" ht="16.5">
      <c r="A63" s="7" t="s">
        <v>281</v>
      </c>
      <c r="B63" s="2" t="s">
        <v>282</v>
      </c>
      <c r="C63" s="8" t="s">
        <v>2577</v>
      </c>
      <c r="D63" s="11" t="s">
        <v>283</v>
      </c>
      <c r="E63" s="8" t="s">
        <v>284</v>
      </c>
      <c r="F63" s="9" t="s">
        <v>285</v>
      </c>
      <c r="G63" s="8" t="str">
        <f t="shared" ca="1" si="4"/>
        <v>Netzwerk-Reset</v>
      </c>
      <c r="H63" s="10" t="str">
        <f ca="1">IFERROR(__xludf.DUMMYFUNCTION("GOOGLETRANSLATE(B3,""en"", ""tr"")"),"DOLU PAKET")</f>
        <v>DOLU PAKET</v>
      </c>
      <c r="I63" s="1" t="s">
        <v>2600</v>
      </c>
    </row>
    <row r="64" spans="1:9" ht="16.5">
      <c r="A64" s="7" t="s">
        <v>286</v>
      </c>
      <c r="B64" s="2" t="s">
        <v>287</v>
      </c>
      <c r="C64" s="8" t="s">
        <v>2578</v>
      </c>
      <c r="D64" s="11" t="s">
        <v>288</v>
      </c>
      <c r="E64" s="8" t="s">
        <v>289</v>
      </c>
      <c r="F64" s="9" t="s">
        <v>290</v>
      </c>
      <c r="G64" s="8" t="str">
        <f t="shared" ca="1" si="4"/>
        <v>Netzwerk-Reset</v>
      </c>
      <c r="H64" s="10" t="str">
        <f ca="1">IFERROR(__xludf.DUMMYFUNCTION("GOOGLETRANSLATE(B3,""en"", ""tr"")"),"DOLU PAKET")</f>
        <v>DOLU PAKET</v>
      </c>
      <c r="I64" s="1" t="s">
        <v>2601</v>
      </c>
    </row>
    <row r="65" spans="1:9" ht="16.5">
      <c r="A65" s="7" t="s">
        <v>291</v>
      </c>
      <c r="B65" s="2" t="s">
        <v>292</v>
      </c>
      <c r="C65" s="8" t="s">
        <v>2579</v>
      </c>
      <c r="D65" s="11" t="s">
        <v>293</v>
      </c>
      <c r="E65" s="8" t="s">
        <v>294</v>
      </c>
      <c r="F65" s="9" t="s">
        <v>295</v>
      </c>
      <c r="G65" s="8" t="str">
        <f t="shared" ca="1" si="4"/>
        <v>Netzwerk-Reset</v>
      </c>
      <c r="H65" s="10" t="str">
        <f ca="1">IFERROR(__xludf.DUMMYFUNCTION("GOOGLETRANSLATE(B3,""en"", ""tr"")"),"DOLU PAKET")</f>
        <v>DOLU PAKET</v>
      </c>
      <c r="I65" s="1" t="s">
        <v>2602</v>
      </c>
    </row>
    <row r="66" spans="1:9" ht="16.5">
      <c r="A66" s="7" t="s">
        <v>296</v>
      </c>
      <c r="B66" s="2" t="s">
        <v>297</v>
      </c>
      <c r="C66" s="11" t="s">
        <v>298</v>
      </c>
      <c r="D66" s="8" t="str">
        <f ca="1">IFERROR(__xludf.DUMMYFUNCTION("GOOGLETRANSLATE(B66,""en"", ""es"")"),"Encontrar pareja")</f>
        <v>Encontrar pareja</v>
      </c>
      <c r="E66" s="8" t="s">
        <v>299</v>
      </c>
      <c r="F66" s="9" t="s">
        <v>300</v>
      </c>
      <c r="G66" s="8" t="str">
        <f t="shared" ca="1" si="4"/>
        <v>Netzwerk-Reset</v>
      </c>
      <c r="H66" s="10" t="str">
        <f ca="1">IFERROR(__xludf.DUMMYFUNCTION("GOOGLETRANSLATE(B3,""en"", ""tr"")"),"DOLU PAKET")</f>
        <v>DOLU PAKET</v>
      </c>
      <c r="I66" s="1" t="s">
        <v>2603</v>
      </c>
    </row>
    <row r="67" spans="1:9" ht="16.5">
      <c r="A67" s="7" t="s">
        <v>301</v>
      </c>
      <c r="B67" s="2" t="s">
        <v>302</v>
      </c>
      <c r="C67" s="8" t="s">
        <v>2606</v>
      </c>
      <c r="D67" s="11" t="s">
        <v>303</v>
      </c>
      <c r="E67" s="8" t="s">
        <v>304</v>
      </c>
      <c r="F67" s="9" t="s">
        <v>305</v>
      </c>
      <c r="G67" s="8" t="str">
        <f t="shared" ca="1" si="4"/>
        <v>Netzwerk-Reset</v>
      </c>
      <c r="H67" s="10" t="str">
        <f ca="1">IFERROR(__xludf.DUMMYFUNCTION("GOOGLETRANSLATE(B3,""en"", ""tr"")"),"DOLU PAKET")</f>
        <v>DOLU PAKET</v>
      </c>
      <c r="I67" s="1" t="s">
        <v>2604</v>
      </c>
    </row>
    <row r="68" spans="1:9" ht="16.5">
      <c r="A68" s="7" t="s">
        <v>306</v>
      </c>
      <c r="B68" s="2" t="s">
        <v>307</v>
      </c>
      <c r="C68" s="8" t="s">
        <v>2607</v>
      </c>
      <c r="D68" s="8" t="str">
        <f ca="1">IFERROR(__xludf.DUMMYFUNCTION("GOOGLETRANSLATE(B68,""en"", ""es"")"),"O")</f>
        <v>O</v>
      </c>
      <c r="E68" s="11" t="s">
        <v>308</v>
      </c>
      <c r="F68" s="9" t="s">
        <v>309</v>
      </c>
      <c r="G68" s="8" t="str">
        <f t="shared" ca="1" si="4"/>
        <v>Netzwerk-Reset</v>
      </c>
      <c r="H68" s="10" t="str">
        <f ca="1">IFERROR(__xludf.DUMMYFUNCTION("GOOGLETRANSLATE(B3,""en"", ""tr"")"),"DOLU PAKET")</f>
        <v>DOLU PAKET</v>
      </c>
      <c r="I68" s="1" t="s">
        <v>2605</v>
      </c>
    </row>
    <row r="69" spans="1:9" ht="16.5">
      <c r="A69" s="7" t="s">
        <v>310</v>
      </c>
      <c r="B69" s="2" t="s">
        <v>311</v>
      </c>
      <c r="C69" s="11" t="s">
        <v>312</v>
      </c>
      <c r="D69" s="11" t="s">
        <v>313</v>
      </c>
      <c r="E69" s="8" t="s">
        <v>314</v>
      </c>
      <c r="F69" s="9" t="s">
        <v>315</v>
      </c>
      <c r="G69" s="8" t="str">
        <f t="shared" ca="1" si="4"/>
        <v>Netzwerk-Reset</v>
      </c>
      <c r="H69" s="10" t="str">
        <f ca="1">IFERROR(__xludf.DUMMYFUNCTION("GOOGLETRANSLATE(B3,""en"", ""tr"")"),"DOLU PAKET")</f>
        <v>DOLU PAKET</v>
      </c>
      <c r="I69" s="1" t="s">
        <v>2608</v>
      </c>
    </row>
    <row r="70" spans="1:9" ht="16.5">
      <c r="A70" s="7" t="s">
        <v>316</v>
      </c>
      <c r="B70" s="2" t="s">
        <v>317</v>
      </c>
      <c r="C70" s="8" t="str">
        <f ca="1">IFERROR(__xludf.DUMMYFUNCTION("GOOGLETRANSLATE(B70,""en"", ""ko"")"),"로그")</f>
        <v>로그</v>
      </c>
      <c r="D70" s="8" t="str">
        <f ca="1">IFERROR(__xludf.DUMMYFUNCTION("GOOGLETRANSLATE(B70,""en"", ""es"")"),"Iniciar sesión")</f>
        <v>Iniciar sesión</v>
      </c>
      <c r="E70" s="8" t="s">
        <v>318</v>
      </c>
      <c r="F70" s="9" t="s">
        <v>319</v>
      </c>
      <c r="G70" s="8" t="str">
        <f t="shared" ca="1" si="4"/>
        <v>Netzwerk-Reset</v>
      </c>
      <c r="H70" s="10" t="str">
        <f ca="1">IFERROR(__xludf.DUMMYFUNCTION("GOOGLETRANSLATE(B3,""en"", ""tr"")"),"DOLU PAKET")</f>
        <v>DOLU PAKET</v>
      </c>
      <c r="I70" s="1" t="s">
        <v>2609</v>
      </c>
    </row>
    <row r="71" spans="1:9" ht="16.5">
      <c r="A71" s="7" t="s">
        <v>320</v>
      </c>
      <c r="B71" s="2" t="s">
        <v>321</v>
      </c>
      <c r="C71" s="11" t="s">
        <v>322</v>
      </c>
      <c r="D71" s="8" t="str">
        <f ca="1">IFERROR(__xludf.DUMMYFUNCTION("GOOGLETRANSLATE(B70,""en"", ""es"")"),"Iniciar sesión")</f>
        <v>Iniciar sesión</v>
      </c>
      <c r="E71" s="8" t="s">
        <v>323</v>
      </c>
      <c r="F71" s="9" t="s">
        <v>324</v>
      </c>
      <c r="G71" s="8" t="str">
        <f t="shared" ca="1" si="4"/>
        <v>Netzwerk-Reset</v>
      </c>
      <c r="H71" s="10" t="str">
        <f ca="1">IFERROR(__xludf.DUMMYFUNCTION("GOOGLETRANSLATE(B3,""en"", ""tr"")"),"DOLU PAKET")</f>
        <v>DOLU PAKET</v>
      </c>
      <c r="I71" s="1" t="s">
        <v>2610</v>
      </c>
    </row>
    <row r="72" spans="1:9" ht="16.5">
      <c r="A72" s="7" t="s">
        <v>325</v>
      </c>
      <c r="B72" s="2" t="s">
        <v>326</v>
      </c>
      <c r="C72" s="8" t="s">
        <v>657</v>
      </c>
      <c r="D72" s="11" t="s">
        <v>327</v>
      </c>
      <c r="E72" s="8" t="s">
        <v>328</v>
      </c>
      <c r="F72" s="9" t="s">
        <v>329</v>
      </c>
      <c r="G72" s="8" t="str">
        <f t="shared" ca="1" si="4"/>
        <v>Netzwerk-Reset</v>
      </c>
      <c r="H72" s="10" t="str">
        <f ca="1">IFERROR(__xludf.DUMMYFUNCTION("GOOGLETRANSLATE(B3,""en"", ""tr"")"),"DOLU PAKET")</f>
        <v>DOLU PAKET</v>
      </c>
      <c r="I72" s="1" t="s">
        <v>2611</v>
      </c>
    </row>
    <row r="73" spans="1:9" ht="16.5">
      <c r="A73" s="7" t="s">
        <v>330</v>
      </c>
      <c r="B73" s="2" t="s">
        <v>331</v>
      </c>
      <c r="C73" s="8" t="s">
        <v>662</v>
      </c>
      <c r="D73" s="11" t="s">
        <v>332</v>
      </c>
      <c r="E73" s="8" t="s">
        <v>333</v>
      </c>
      <c r="F73" s="9" t="s">
        <v>334</v>
      </c>
      <c r="G73" s="8" t="str">
        <f t="shared" ca="1" si="4"/>
        <v>Netzwerk-Reset</v>
      </c>
      <c r="H73" s="10" t="str">
        <f ca="1">IFERROR(__xludf.DUMMYFUNCTION("GOOGLETRANSLATE(B3,""en"", ""tr"")"),"DOLU PAKET")</f>
        <v>DOLU PAKET</v>
      </c>
      <c r="I73" s="1" t="s">
        <v>2612</v>
      </c>
    </row>
    <row r="74" spans="1:9" ht="16.5">
      <c r="A74" s="7" t="s">
        <v>335</v>
      </c>
      <c r="B74" s="2" t="s">
        <v>336</v>
      </c>
      <c r="C74" s="11" t="s">
        <v>337</v>
      </c>
      <c r="D74" s="8" t="str">
        <f ca="1">IFERROR(__xludf.DUMMYFUNCTION("GOOGLETRANSLATE(B74,""en"", ""es"")"),"Cortar")</f>
        <v>Cortar</v>
      </c>
      <c r="E74" s="8" t="s">
        <v>338</v>
      </c>
      <c r="F74" s="9" t="s">
        <v>339</v>
      </c>
      <c r="G74" s="8" t="str">
        <f t="shared" ca="1" si="4"/>
        <v>Netzwerk-Reset</v>
      </c>
      <c r="H74" s="10" t="str">
        <f ca="1">IFERROR(__xludf.DUMMYFUNCTION("GOOGLETRANSLATE(B3,""en"", ""tr"")"),"DOLU PAKET")</f>
        <v>DOLU PAKET</v>
      </c>
      <c r="I74" s="1" t="s">
        <v>2613</v>
      </c>
    </row>
    <row r="75" spans="1:9" ht="16.5">
      <c r="A75" s="7" t="s">
        <v>340</v>
      </c>
      <c r="B75" s="2" t="s">
        <v>341</v>
      </c>
      <c r="C75" s="8" t="s">
        <v>799</v>
      </c>
      <c r="D75" s="8" t="str">
        <f ca="1">IFERROR(__xludf.DUMMYFUNCTION("GOOGLETRANSLATE(B74,""en"", ""es"")"),"Cortar")</f>
        <v>Cortar</v>
      </c>
      <c r="E75" s="8" t="s">
        <v>342</v>
      </c>
      <c r="F75" s="9" t="s">
        <v>343</v>
      </c>
      <c r="G75" s="8" t="str">
        <f t="shared" ca="1" si="4"/>
        <v>Netzwerk-Reset</v>
      </c>
      <c r="H75" s="10" t="str">
        <f ca="1">IFERROR(__xludf.DUMMYFUNCTION("GOOGLETRANSLATE(B3,""en"", ""tr"")"),"DOLU PAKET")</f>
        <v>DOLU PAKET</v>
      </c>
      <c r="I75" s="1" t="s">
        <v>2614</v>
      </c>
    </row>
    <row r="76" spans="1:9" ht="16.5">
      <c r="A76" s="7" t="s">
        <v>344</v>
      </c>
      <c r="B76" s="2" t="s">
        <v>345</v>
      </c>
      <c r="C76" s="11" t="s">
        <v>346</v>
      </c>
      <c r="D76" s="8" t="str">
        <f ca="1">IFERROR(__xludf.DUMMYFUNCTION("GOOGLETRANSLATE(B74,""en"", ""es"")"),"Cortar")</f>
        <v>Cortar</v>
      </c>
      <c r="E76" s="8" t="s">
        <v>347</v>
      </c>
      <c r="F76" s="9" t="s">
        <v>348</v>
      </c>
      <c r="G76" s="8" t="str">
        <f t="shared" ca="1" si="4"/>
        <v>Netzwerk-Reset</v>
      </c>
      <c r="H76" s="10" t="str">
        <f ca="1">IFERROR(__xludf.DUMMYFUNCTION("GOOGLETRANSLATE(B3,""en"", ""tr"")"),"DOLU PAKET")</f>
        <v>DOLU PAKET</v>
      </c>
      <c r="I76" s="1" t="s">
        <v>2615</v>
      </c>
    </row>
    <row r="77" spans="1:9" ht="25.5">
      <c r="A77" s="7" t="s">
        <v>349</v>
      </c>
      <c r="B77" s="2" t="s">
        <v>350</v>
      </c>
      <c r="C77" s="11" t="s">
        <v>351</v>
      </c>
      <c r="D77" s="11" t="s">
        <v>352</v>
      </c>
      <c r="E77" s="11" t="s">
        <v>353</v>
      </c>
      <c r="F77" s="9" t="s">
        <v>354</v>
      </c>
      <c r="G77" s="8" t="str">
        <f t="shared" ca="1" si="4"/>
        <v>Netzwerk-Reset</v>
      </c>
      <c r="H77" s="10" t="str">
        <f ca="1">IFERROR(__xludf.DUMMYFUNCTION("GOOGLETRANSLATE(B3,""en"", ""tr"")"),"DOLU PAKET")</f>
        <v>DOLU PAKET</v>
      </c>
      <c r="I77" s="1" t="s">
        <v>2616</v>
      </c>
    </row>
    <row r="78" spans="1:9" ht="38.25">
      <c r="A78" s="7" t="s">
        <v>355</v>
      </c>
      <c r="B78" s="2" t="s">
        <v>356</v>
      </c>
      <c r="C78" s="11" t="s">
        <v>357</v>
      </c>
      <c r="D78" s="11" t="s">
        <v>358</v>
      </c>
      <c r="E78" s="8" t="s">
        <v>359</v>
      </c>
      <c r="F78" s="9" t="s">
        <v>360</v>
      </c>
      <c r="G78" s="8" t="str">
        <f t="shared" ca="1" si="4"/>
        <v>Netzwerk-Reset</v>
      </c>
      <c r="H78" s="10" t="str">
        <f ca="1">IFERROR(__xludf.DUMMYFUNCTION("GOOGLETRANSLATE(B3,""en"", ""tr"")"),"DOLU PAKET")</f>
        <v>DOLU PAKET</v>
      </c>
      <c r="I78" s="1" t="s">
        <v>2617</v>
      </c>
    </row>
    <row r="79" spans="1:9" ht="33">
      <c r="A79" s="7" t="s">
        <v>361</v>
      </c>
      <c r="B79" s="2" t="s">
        <v>362</v>
      </c>
      <c r="C79" s="8" t="s">
        <v>363</v>
      </c>
      <c r="D79" s="11" t="s">
        <v>364</v>
      </c>
      <c r="E79" s="8" t="s">
        <v>365</v>
      </c>
      <c r="F79" s="9" t="s">
        <v>366</v>
      </c>
      <c r="G79" s="8" t="str">
        <f t="shared" ca="1" si="4"/>
        <v>Netzwerk-Reset</v>
      </c>
      <c r="H79" s="10" t="str">
        <f ca="1">IFERROR(__xludf.DUMMYFUNCTION("GOOGLETRANSLATE(B3,""en"", ""tr"")"),"DOLU PAKET")</f>
        <v>DOLU PAKET</v>
      </c>
      <c r="I79" s="1" t="s">
        <v>2618</v>
      </c>
    </row>
    <row r="80" spans="1:9" ht="33">
      <c r="A80" s="7" t="s">
        <v>367</v>
      </c>
      <c r="B80" s="2" t="s">
        <v>368</v>
      </c>
      <c r="C80" s="8" t="s">
        <v>369</v>
      </c>
      <c r="D80" s="11" t="s">
        <v>370</v>
      </c>
      <c r="E80" s="8" t="s">
        <v>371</v>
      </c>
      <c r="F80" s="9" t="s">
        <v>372</v>
      </c>
      <c r="G80" s="8" t="str">
        <f t="shared" ca="1" si="4"/>
        <v>Netzwerk-Reset</v>
      </c>
      <c r="H80" s="10" t="str">
        <f ca="1">IFERROR(__xludf.DUMMYFUNCTION("GOOGLETRANSLATE(B3,""en"", ""tr"")"),"DOLU PAKET")</f>
        <v>DOLU PAKET</v>
      </c>
      <c r="I80" s="1" t="s">
        <v>2619</v>
      </c>
    </row>
    <row r="81" spans="1:9" ht="63.75">
      <c r="A81" s="7" t="s">
        <v>373</v>
      </c>
      <c r="B81" s="2" t="s">
        <v>374</v>
      </c>
      <c r="C81" s="8" t="s">
        <v>375</v>
      </c>
      <c r="D81" s="11" t="s">
        <v>376</v>
      </c>
      <c r="E81" s="8" t="s">
        <v>377</v>
      </c>
      <c r="F81" s="9" t="s">
        <v>378</v>
      </c>
      <c r="G81" s="8" t="str">
        <f t="shared" ca="1" si="4"/>
        <v>Netzwerk-Reset</v>
      </c>
      <c r="H81" s="10" t="str">
        <f ca="1">IFERROR(__xludf.DUMMYFUNCTION("GOOGLETRANSLATE(B3,""en"", ""tr"")"),"DOLU PAKET")</f>
        <v>DOLU PAKET</v>
      </c>
      <c r="I81" s="1" t="s">
        <v>2620</v>
      </c>
    </row>
    <row r="82" spans="1:9" ht="16.5">
      <c r="A82" s="15" t="s">
        <v>379</v>
      </c>
      <c r="B82" s="2" t="s">
        <v>380</v>
      </c>
      <c r="C82" s="8" t="s">
        <v>2621</v>
      </c>
      <c r="D82" s="11" t="s">
        <v>381</v>
      </c>
      <c r="E82" s="8" t="s">
        <v>382</v>
      </c>
      <c r="F82" s="9" t="s">
        <v>383</v>
      </c>
      <c r="G82" s="8" t="str">
        <f t="shared" ca="1" si="4"/>
        <v>Netzwerk-Reset</v>
      </c>
      <c r="H82" s="10" t="str">
        <f ca="1">IFERROR(__xludf.DUMMYFUNCTION("GOOGLETRANSLATE(B3,""en"", ""tr"")"),"DOLU PAKET")</f>
        <v>DOLU PAKET</v>
      </c>
      <c r="I82" s="1" t="s">
        <v>2663</v>
      </c>
    </row>
    <row r="83" spans="1:9" ht="63.75">
      <c r="A83" s="15" t="s">
        <v>384</v>
      </c>
      <c r="B83" s="2" t="s">
        <v>385</v>
      </c>
      <c r="C83" s="8" t="s">
        <v>2622</v>
      </c>
      <c r="D83" s="11" t="s">
        <v>386</v>
      </c>
      <c r="E83" s="8" t="s">
        <v>387</v>
      </c>
      <c r="F83" s="9" t="s">
        <v>388</v>
      </c>
      <c r="G83" s="8" t="str">
        <f t="shared" ca="1" si="4"/>
        <v>Netzwerk-Reset</v>
      </c>
      <c r="H83" s="10" t="str">
        <f ca="1">IFERROR(__xludf.DUMMYFUNCTION("GOOGLETRANSLATE(B3,""en"", ""tr"")"),"DOLU PAKET")</f>
        <v>DOLU PAKET</v>
      </c>
      <c r="I83" s="1" t="s">
        <v>2859</v>
      </c>
    </row>
    <row r="84" spans="1:9" ht="51">
      <c r="A84" s="15" t="s">
        <v>389</v>
      </c>
      <c r="B84" s="2" t="s">
        <v>2860</v>
      </c>
      <c r="C84" s="8" t="s">
        <v>2623</v>
      </c>
      <c r="D84" s="11" t="s">
        <v>390</v>
      </c>
      <c r="E84" s="8" t="s">
        <v>391</v>
      </c>
      <c r="F84" s="9" t="s">
        <v>392</v>
      </c>
      <c r="G84" s="8" t="str">
        <f t="shared" ca="1" si="4"/>
        <v>Netzwerk-Reset</v>
      </c>
      <c r="H84" s="10" t="str">
        <f ca="1">IFERROR(__xludf.DUMMYFUNCTION("GOOGLETRANSLATE(B3,""en"", ""tr"")"),"DOLU PAKET")</f>
        <v>DOLU PAKET</v>
      </c>
      <c r="I84" s="1" t="s">
        <v>2861</v>
      </c>
    </row>
    <row r="85" spans="1:9" ht="51">
      <c r="A85" s="15" t="s">
        <v>393</v>
      </c>
      <c r="B85" s="2" t="s">
        <v>394</v>
      </c>
      <c r="C85" s="8" t="s">
        <v>2624</v>
      </c>
      <c r="D85" s="11" t="s">
        <v>395</v>
      </c>
      <c r="E85" s="8" t="s">
        <v>396</v>
      </c>
      <c r="F85" s="9" t="s">
        <v>397</v>
      </c>
      <c r="G85" s="8" t="str">
        <f t="shared" ca="1" si="4"/>
        <v>Netzwerk-Reset</v>
      </c>
      <c r="H85" s="10" t="str">
        <f ca="1">IFERROR(__xludf.DUMMYFUNCTION("GOOGLETRANSLATE(B3,""en"", ""tr"")"),"DOLU PAKET")</f>
        <v>DOLU PAKET</v>
      </c>
      <c r="I85" s="1" t="s">
        <v>2862</v>
      </c>
    </row>
    <row r="86" spans="1:9" ht="33">
      <c r="A86" s="15" t="s">
        <v>398</v>
      </c>
      <c r="B86" s="16" t="s">
        <v>399</v>
      </c>
      <c r="C86" s="8" t="s">
        <v>2625</v>
      </c>
      <c r="D86" s="11" t="s">
        <v>400</v>
      </c>
      <c r="E86" s="8" t="s">
        <v>401</v>
      </c>
      <c r="F86" s="9" t="s">
        <v>402</v>
      </c>
      <c r="G86" s="8" t="str">
        <f t="shared" ca="1" si="4"/>
        <v>Netzwerk-Reset</v>
      </c>
      <c r="H86" s="10" t="str">
        <f ca="1">IFERROR(__xludf.DUMMYFUNCTION("GOOGLETRANSLATE(B3,""en"", ""tr"")"),"DOLU PAKET")</f>
        <v>DOLU PAKET</v>
      </c>
      <c r="I86" s="1" t="s">
        <v>2863</v>
      </c>
    </row>
    <row r="87" spans="1:9" ht="33">
      <c r="A87" s="15" t="s">
        <v>403</v>
      </c>
      <c r="B87" s="2" t="s">
        <v>404</v>
      </c>
      <c r="C87" s="8" t="s">
        <v>2626</v>
      </c>
      <c r="D87" s="11" t="s">
        <v>405</v>
      </c>
      <c r="E87" s="8" t="s">
        <v>406</v>
      </c>
      <c r="F87" s="9" t="s">
        <v>407</v>
      </c>
      <c r="G87" s="8" t="str">
        <f t="shared" ca="1" si="4"/>
        <v>Netzwerk-Reset</v>
      </c>
      <c r="H87" s="10" t="str">
        <f ca="1">IFERROR(__xludf.DUMMYFUNCTION("GOOGLETRANSLATE(B3,""en"", ""tr"")"),"DOLU PAKET")</f>
        <v>DOLU PAKET</v>
      </c>
      <c r="I87" s="1" t="s">
        <v>2864</v>
      </c>
    </row>
    <row r="88" spans="1:9" ht="33">
      <c r="A88" s="15" t="s">
        <v>408</v>
      </c>
      <c r="B88" s="2" t="s">
        <v>409</v>
      </c>
      <c r="C88" s="8" t="s">
        <v>2627</v>
      </c>
      <c r="D88" s="11" t="s">
        <v>410</v>
      </c>
      <c r="E88" s="8" t="s">
        <v>411</v>
      </c>
      <c r="F88" s="9" t="s">
        <v>412</v>
      </c>
      <c r="G88" s="8" t="str">
        <f t="shared" ca="1" si="4"/>
        <v>Netzwerk-Reset</v>
      </c>
      <c r="H88" s="10" t="str">
        <f ca="1">IFERROR(__xludf.DUMMYFUNCTION("GOOGLETRANSLATE(B3,""en"", ""tr"")"),"DOLU PAKET")</f>
        <v>DOLU PAKET</v>
      </c>
      <c r="I88" s="1" t="s">
        <v>2865</v>
      </c>
    </row>
    <row r="89" spans="1:9" ht="51">
      <c r="A89" s="15" t="s">
        <v>413</v>
      </c>
      <c r="B89" s="2" t="s">
        <v>414</v>
      </c>
      <c r="C89" s="8" t="s">
        <v>2628</v>
      </c>
      <c r="D89" s="11" t="s">
        <v>415</v>
      </c>
      <c r="E89" s="8" t="s">
        <v>416</v>
      </c>
      <c r="F89" s="9" t="s">
        <v>417</v>
      </c>
      <c r="G89" s="8" t="str">
        <f t="shared" ca="1" si="4"/>
        <v>Netzwerk-Reset</v>
      </c>
      <c r="H89" s="10" t="str">
        <f ca="1">IFERROR(__xludf.DUMMYFUNCTION("GOOGLETRANSLATE(B3,""en"", ""tr"")"),"DOLU PAKET")</f>
        <v>DOLU PAKET</v>
      </c>
      <c r="I89" s="1" t="s">
        <v>2866</v>
      </c>
    </row>
    <row r="90" spans="1:9" ht="51">
      <c r="A90" s="15" t="s">
        <v>418</v>
      </c>
      <c r="B90" s="2" t="s">
        <v>419</v>
      </c>
      <c r="C90" s="8" t="s">
        <v>2629</v>
      </c>
      <c r="D90" s="11" t="s">
        <v>420</v>
      </c>
      <c r="E90" s="8" t="s">
        <v>421</v>
      </c>
      <c r="F90" s="9" t="s">
        <v>422</v>
      </c>
      <c r="G90" s="8" t="str">
        <f t="shared" ca="1" si="4"/>
        <v>Netzwerk-Reset</v>
      </c>
      <c r="H90" s="10" t="str">
        <f ca="1">IFERROR(__xludf.DUMMYFUNCTION("GOOGLETRANSLATE(B3,""en"", ""tr"")"),"DOLU PAKET")</f>
        <v>DOLU PAKET</v>
      </c>
      <c r="I90" s="1" t="s">
        <v>2867</v>
      </c>
    </row>
    <row r="91" spans="1:9" ht="38.25">
      <c r="A91" s="15" t="s">
        <v>423</v>
      </c>
      <c r="B91" s="2" t="s">
        <v>424</v>
      </c>
      <c r="C91" s="8" t="s">
        <v>2630</v>
      </c>
      <c r="D91" s="11" t="s">
        <v>425</v>
      </c>
      <c r="E91" s="8" t="s">
        <v>426</v>
      </c>
      <c r="F91" s="9" t="s">
        <v>427</v>
      </c>
      <c r="G91" s="8" t="str">
        <f t="shared" ca="1" si="4"/>
        <v>Netzwerk-Reset</v>
      </c>
      <c r="H91" s="10" t="str">
        <f ca="1">IFERROR(__xludf.DUMMYFUNCTION("GOOGLETRANSLATE(B3,""en"", ""tr"")"),"DOLU PAKET")</f>
        <v>DOLU PAKET</v>
      </c>
      <c r="I91" s="1" t="s">
        <v>2868</v>
      </c>
    </row>
    <row r="92" spans="1:9" ht="51">
      <c r="A92" s="15" t="s">
        <v>428</v>
      </c>
      <c r="B92" s="2" t="s">
        <v>429</v>
      </c>
      <c r="C92" s="11" t="s">
        <v>430</v>
      </c>
      <c r="D92" s="11" t="s">
        <v>431</v>
      </c>
      <c r="E92" s="8" t="s">
        <v>432</v>
      </c>
      <c r="F92" s="9" t="s">
        <v>433</v>
      </c>
      <c r="G92" s="8" t="str">
        <f t="shared" ca="1" si="4"/>
        <v>Netzwerk-Reset</v>
      </c>
      <c r="H92" s="10" t="str">
        <f ca="1">IFERROR(__xludf.DUMMYFUNCTION("GOOGLETRANSLATE(B3,""en"", ""tr"")"),"DOLU PAKET")</f>
        <v>DOLU PAKET</v>
      </c>
      <c r="I92" s="1" t="s">
        <v>2869</v>
      </c>
    </row>
    <row r="93" spans="1:9" ht="16.5">
      <c r="A93" s="15" t="s">
        <v>434</v>
      </c>
      <c r="B93" s="11" t="s">
        <v>435</v>
      </c>
      <c r="C93" s="8" t="s">
        <v>2631</v>
      </c>
      <c r="D93" s="11" t="s">
        <v>436</v>
      </c>
      <c r="E93" s="8" t="s">
        <v>437</v>
      </c>
      <c r="F93" s="9" t="s">
        <v>438</v>
      </c>
      <c r="G93" s="8" t="str">
        <f t="shared" ca="1" si="4"/>
        <v>Netzwerk-Reset</v>
      </c>
      <c r="H93" s="10" t="str">
        <f ca="1">IFERROR(__xludf.DUMMYFUNCTION("GOOGLETRANSLATE(B3,""en"", ""tr"")"),"DOLU PAKET")</f>
        <v>DOLU PAKET</v>
      </c>
      <c r="I93" s="1" t="s">
        <v>2664</v>
      </c>
    </row>
    <row r="94" spans="1:9" ht="16.5">
      <c r="A94" s="15" t="s">
        <v>439</v>
      </c>
      <c r="B94" s="2" t="s">
        <v>440</v>
      </c>
      <c r="C94" s="11" t="s">
        <v>441</v>
      </c>
      <c r="D94" s="8" t="str">
        <f ca="1">IFERROR(__xludf.DUMMYFUNCTION("GOOGLETRANSLATE(B94,""en"", ""es"")"),"Descansando")</f>
        <v>Descansando</v>
      </c>
      <c r="E94" s="8" t="s">
        <v>442</v>
      </c>
      <c r="F94" s="9" t="s">
        <v>443</v>
      </c>
      <c r="G94" s="8" t="str">
        <f t="shared" ca="1" si="4"/>
        <v>Netzwerk-Reset</v>
      </c>
      <c r="H94" s="10" t="str">
        <f ca="1">IFERROR(__xludf.DUMMYFUNCTION("GOOGLETRANSLATE(B3,""en"", ""tr"")"),"DOLU PAKET")</f>
        <v>DOLU PAKET</v>
      </c>
      <c r="I94" s="1" t="s">
        <v>2665</v>
      </c>
    </row>
    <row r="95" spans="1:9" ht="16.5">
      <c r="A95" s="17" t="s">
        <v>444</v>
      </c>
      <c r="B95" s="2" t="s">
        <v>445</v>
      </c>
      <c r="C95" s="8" t="s">
        <v>2632</v>
      </c>
      <c r="D95" s="11" t="s">
        <v>446</v>
      </c>
      <c r="E95" s="8" t="s">
        <v>447</v>
      </c>
      <c r="F95" s="9" t="s">
        <v>448</v>
      </c>
      <c r="G95" s="8" t="str">
        <f t="shared" ca="1" si="4"/>
        <v>Netzwerk-Reset</v>
      </c>
      <c r="H95" s="10" t="str">
        <f ca="1">IFERROR(__xludf.DUMMYFUNCTION("GOOGLETRANSLATE(B3,""en"", ""tr"")"),"DOLU PAKET")</f>
        <v>DOLU PAKET</v>
      </c>
      <c r="I95" s="1" t="s">
        <v>2666</v>
      </c>
    </row>
    <row r="96" spans="1:9" ht="25.5">
      <c r="A96" s="17" t="s">
        <v>449</v>
      </c>
      <c r="B96" s="2" t="s">
        <v>450</v>
      </c>
      <c r="C96" s="8" t="s">
        <v>2633</v>
      </c>
      <c r="D96" s="11" t="s">
        <v>451</v>
      </c>
      <c r="E96" s="8" t="s">
        <v>452</v>
      </c>
      <c r="F96" s="9" t="s">
        <v>453</v>
      </c>
      <c r="G96" s="8" t="str">
        <f t="shared" ca="1" si="4"/>
        <v>Netzwerk-Reset</v>
      </c>
      <c r="H96" s="10" t="str">
        <f ca="1">IFERROR(__xludf.DUMMYFUNCTION("GOOGLETRANSLATE(B3,""en"", ""tr"")"),"DOLU PAKET")</f>
        <v>DOLU PAKET</v>
      </c>
      <c r="I96" s="1" t="s">
        <v>2667</v>
      </c>
    </row>
    <row r="97" spans="1:9" ht="25.5">
      <c r="A97" s="17" t="s">
        <v>454</v>
      </c>
      <c r="B97" s="2" t="s">
        <v>455</v>
      </c>
      <c r="C97" s="11" t="s">
        <v>456</v>
      </c>
      <c r="D97" s="11" t="s">
        <v>457</v>
      </c>
      <c r="E97" s="11" t="s">
        <v>458</v>
      </c>
      <c r="F97" s="8" t="str">
        <f t="shared" ref="F97:F123" ca="1" si="7">IFERROR(__xludf.DUMMYFUNCTION("GOOGLETRANSLATE(B97,""en"", ""fr"")"),"Un assistant peut détruire les arbres.")</f>
        <v>Un assistant peut détruire les arbres.</v>
      </c>
      <c r="G97" s="8" t="str">
        <f t="shared" ca="1" si="4"/>
        <v>Netzwerk-Reset</v>
      </c>
      <c r="H97" s="10" t="str">
        <f ca="1">IFERROR(__xludf.DUMMYFUNCTION("GOOGLETRANSLATE(B3,""en"", ""tr"")"),"DOLU PAKET")</f>
        <v>DOLU PAKET</v>
      </c>
      <c r="I97" s="1" t="s">
        <v>2800</v>
      </c>
    </row>
    <row r="98" spans="1:9" ht="25.5">
      <c r="A98" s="17" t="s">
        <v>459</v>
      </c>
      <c r="B98" s="2" t="s">
        <v>460</v>
      </c>
      <c r="C98" s="11" t="s">
        <v>461</v>
      </c>
      <c r="D98" s="18" t="s">
        <v>462</v>
      </c>
      <c r="E98" s="18" t="s">
        <v>463</v>
      </c>
      <c r="F98" s="19" t="str">
        <f t="shared" ca="1" si="7"/>
        <v>Un assistant peut détruire les arbres.</v>
      </c>
      <c r="G98" s="8" t="str">
        <f t="shared" ca="1" si="4"/>
        <v>Netzwerk-Reset</v>
      </c>
      <c r="H98" s="10" t="str">
        <f ca="1">IFERROR(__xludf.DUMMYFUNCTION("GOOGLETRANSLATE(B3,""en"", ""tr"")"),"DOLU PAKET")</f>
        <v>DOLU PAKET</v>
      </c>
      <c r="I98" s="1" t="s">
        <v>2668</v>
      </c>
    </row>
    <row r="99" spans="1:9" ht="16.5">
      <c r="A99" s="7" t="s">
        <v>464</v>
      </c>
      <c r="B99" s="2" t="s">
        <v>465</v>
      </c>
      <c r="C99" s="8" t="s">
        <v>2634</v>
      </c>
      <c r="D99" s="11" t="s">
        <v>466</v>
      </c>
      <c r="E99" s="11" t="s">
        <v>467</v>
      </c>
      <c r="F99" s="8" t="str">
        <f t="shared" ca="1" si="7"/>
        <v>Un assistant peut détruire les arbres.</v>
      </c>
      <c r="G99" s="8" t="str">
        <f t="shared" ca="1" si="4"/>
        <v>Netzwerk-Reset</v>
      </c>
      <c r="H99" s="10" t="str">
        <f ca="1">IFERROR(__xludf.DUMMYFUNCTION("GOOGLETRANSLATE(B3,""en"", ""tr"")"),"DOLU PAKET")</f>
        <v>DOLU PAKET</v>
      </c>
      <c r="I99" s="1" t="s">
        <v>2669</v>
      </c>
    </row>
    <row r="100" spans="1:9" ht="16.5">
      <c r="A100" s="7" t="s">
        <v>468</v>
      </c>
      <c r="B100" s="2" t="s">
        <v>469</v>
      </c>
      <c r="C100" s="8" t="s">
        <v>2635</v>
      </c>
      <c r="D100" s="11" t="s">
        <v>470</v>
      </c>
      <c r="E100" s="11" t="s">
        <v>471</v>
      </c>
      <c r="F100" s="8" t="str">
        <f t="shared" ca="1" si="7"/>
        <v>Un assistant peut détruire les arbres.</v>
      </c>
      <c r="G100" s="8" t="str">
        <f t="shared" ca="1" si="4"/>
        <v>Netzwerk-Reset</v>
      </c>
      <c r="H100" s="10" t="str">
        <f ca="1">IFERROR(__xludf.DUMMYFUNCTION("GOOGLETRANSLATE(B3,""en"", ""tr"")"),"DOLU PAKET")</f>
        <v>DOLU PAKET</v>
      </c>
      <c r="I100" s="1" t="s">
        <v>2670</v>
      </c>
    </row>
    <row r="101" spans="1:9" ht="16.5">
      <c r="A101" s="7" t="s">
        <v>472</v>
      </c>
      <c r="B101" s="2" t="s">
        <v>473</v>
      </c>
      <c r="C101" s="11" t="s">
        <v>474</v>
      </c>
      <c r="D101" s="11" t="s">
        <v>475</v>
      </c>
      <c r="E101" s="11" t="s">
        <v>476</v>
      </c>
      <c r="F101" s="8" t="str">
        <f t="shared" ca="1" si="7"/>
        <v>Un assistant peut détruire les arbres.</v>
      </c>
      <c r="G101" s="8" t="str">
        <f t="shared" ca="1" si="4"/>
        <v>Netzwerk-Reset</v>
      </c>
      <c r="H101" s="10" t="str">
        <f ca="1">IFERROR(__xludf.DUMMYFUNCTION("GOOGLETRANSLATE(B3,""en"", ""tr"")"),"DOLU PAKET")</f>
        <v>DOLU PAKET</v>
      </c>
      <c r="I101" s="1" t="s">
        <v>2671</v>
      </c>
    </row>
    <row r="102" spans="1:9" ht="16.5">
      <c r="A102" s="7" t="s">
        <v>477</v>
      </c>
      <c r="B102" s="2" t="s">
        <v>478</v>
      </c>
      <c r="C102" s="8" t="s">
        <v>2636</v>
      </c>
      <c r="D102" s="8" t="str">
        <f t="shared" ref="D102:D110" ca="1" si="8">IFERROR(__xludf.DUMMYFUNCTION("GOOGLETRANSLATE(B102,""en"", ""es"")"),"Bajo la cascada")</f>
        <v>Bajo la cascada</v>
      </c>
      <c r="E102" s="11" t="s">
        <v>479</v>
      </c>
      <c r="F102" s="8" t="str">
        <f t="shared" ca="1" si="7"/>
        <v>Un assistant peut détruire les arbres.</v>
      </c>
      <c r="G102" s="8" t="str">
        <f t="shared" ca="1" si="4"/>
        <v>Netzwerk-Reset</v>
      </c>
      <c r="H102" s="10" t="str">
        <f ca="1">IFERROR(__xludf.DUMMYFUNCTION("GOOGLETRANSLATE(B3,""en"", ""tr"")"),"DOLU PAKET")</f>
        <v>DOLU PAKET</v>
      </c>
      <c r="I102" s="1" t="s">
        <v>2672</v>
      </c>
    </row>
    <row r="103" spans="1:9" ht="16.5">
      <c r="A103" s="7" t="s">
        <v>480</v>
      </c>
      <c r="B103" s="2" t="s">
        <v>2674</v>
      </c>
      <c r="C103" s="11" t="s">
        <v>481</v>
      </c>
      <c r="D103" s="8" t="str">
        <f t="shared" ca="1" si="8"/>
        <v>Bajo la cascada</v>
      </c>
      <c r="E103" s="11" t="s">
        <v>482</v>
      </c>
      <c r="F103" s="8" t="str">
        <f t="shared" ca="1" si="7"/>
        <v>Un assistant peut détruire les arbres.</v>
      </c>
      <c r="G103" s="8" t="str">
        <f t="shared" ca="1" si="4"/>
        <v>Netzwerk-Reset</v>
      </c>
      <c r="H103" s="10" t="str">
        <f ca="1">IFERROR(__xludf.DUMMYFUNCTION("GOOGLETRANSLATE(B3,""en"", ""tr"")"),"DOLU PAKET")</f>
        <v>DOLU PAKET</v>
      </c>
      <c r="I103" s="1" t="s">
        <v>2673</v>
      </c>
    </row>
    <row r="104" spans="1:9" ht="16.5">
      <c r="A104" s="7" t="s">
        <v>483</v>
      </c>
      <c r="B104" s="2" t="s">
        <v>484</v>
      </c>
      <c r="C104" s="11" t="s">
        <v>485</v>
      </c>
      <c r="D104" s="8" t="str">
        <f t="shared" ca="1" si="8"/>
        <v>Bajo la cascada</v>
      </c>
      <c r="E104" s="11" t="s">
        <v>486</v>
      </c>
      <c r="F104" s="8" t="str">
        <f t="shared" ca="1" si="7"/>
        <v>Un assistant peut détruire les arbres.</v>
      </c>
      <c r="G104" s="8" t="str">
        <f t="shared" ca="1" si="4"/>
        <v>Netzwerk-Reset</v>
      </c>
      <c r="H104" s="10" t="str">
        <f ca="1">IFERROR(__xludf.DUMMYFUNCTION("GOOGLETRANSLATE(B3,""en"", ""tr"")"),"DOLU PAKET")</f>
        <v>DOLU PAKET</v>
      </c>
      <c r="I104" s="1" t="s">
        <v>2675</v>
      </c>
    </row>
    <row r="105" spans="1:9" ht="16.5">
      <c r="A105" s="7" t="s">
        <v>487</v>
      </c>
      <c r="B105" s="2" t="s">
        <v>488</v>
      </c>
      <c r="C105" s="8" t="s">
        <v>2637</v>
      </c>
      <c r="D105" s="8" t="str">
        <f t="shared" ca="1" si="8"/>
        <v>Bajo la cascada</v>
      </c>
      <c r="E105" s="11" t="s">
        <v>489</v>
      </c>
      <c r="F105" s="8" t="str">
        <f t="shared" ca="1" si="7"/>
        <v>Un assistant peut détruire les arbres.</v>
      </c>
      <c r="G105" s="8" t="str">
        <f t="shared" ca="1" si="4"/>
        <v>Netzwerk-Reset</v>
      </c>
      <c r="H105" s="10" t="str">
        <f ca="1">IFERROR(__xludf.DUMMYFUNCTION("GOOGLETRANSLATE(B3,""en"", ""tr"")"),"DOLU PAKET")</f>
        <v>DOLU PAKET</v>
      </c>
      <c r="I105" s="1" t="s">
        <v>2676</v>
      </c>
    </row>
    <row r="106" spans="1:9" ht="16.5">
      <c r="A106" s="7" t="s">
        <v>490</v>
      </c>
      <c r="B106" s="2" t="s">
        <v>491</v>
      </c>
      <c r="C106" s="8" t="s">
        <v>2638</v>
      </c>
      <c r="D106" s="8" t="str">
        <f t="shared" ca="1" si="8"/>
        <v>Bajo la cascada</v>
      </c>
      <c r="E106" s="11" t="s">
        <v>492</v>
      </c>
      <c r="F106" s="8" t="str">
        <f t="shared" ca="1" si="7"/>
        <v>Un assistant peut détruire les arbres.</v>
      </c>
      <c r="G106" s="8" t="str">
        <f t="shared" ca="1" si="4"/>
        <v>Netzwerk-Reset</v>
      </c>
      <c r="H106" s="10" t="str">
        <f ca="1">IFERROR(__xludf.DUMMYFUNCTION("GOOGLETRANSLATE(B3,""en"", ""tr"")"),"DOLU PAKET")</f>
        <v>DOLU PAKET</v>
      </c>
      <c r="I106" s="1" t="s">
        <v>2677</v>
      </c>
    </row>
    <row r="107" spans="1:9" ht="16.5">
      <c r="A107" s="7" t="s">
        <v>493</v>
      </c>
      <c r="B107" s="2" t="s">
        <v>494</v>
      </c>
      <c r="C107" s="11" t="s">
        <v>495</v>
      </c>
      <c r="D107" s="8" t="str">
        <f t="shared" ca="1" si="8"/>
        <v>Bajo la cascada</v>
      </c>
      <c r="E107" s="11" t="s">
        <v>496</v>
      </c>
      <c r="F107" s="8" t="str">
        <f t="shared" ca="1" si="7"/>
        <v>Un assistant peut détruire les arbres.</v>
      </c>
      <c r="G107" s="8" t="str">
        <f t="shared" ca="1" si="4"/>
        <v>Netzwerk-Reset</v>
      </c>
      <c r="H107" s="10" t="str">
        <f ca="1">IFERROR(__xludf.DUMMYFUNCTION("GOOGLETRANSLATE(B3,""en"", ""tr"")"),"DOLU PAKET")</f>
        <v>DOLU PAKET</v>
      </c>
      <c r="I107" s="1" t="s">
        <v>2678</v>
      </c>
    </row>
    <row r="108" spans="1:9" ht="16.5">
      <c r="A108" s="7" t="s">
        <v>497</v>
      </c>
      <c r="B108" s="2" t="s">
        <v>498</v>
      </c>
      <c r="C108" s="8" t="s">
        <v>2639</v>
      </c>
      <c r="D108" s="8" t="str">
        <f t="shared" ca="1" si="8"/>
        <v>Bajo la cascada</v>
      </c>
      <c r="E108" s="11" t="s">
        <v>499</v>
      </c>
      <c r="F108" s="8" t="str">
        <f t="shared" ca="1" si="7"/>
        <v>Un assistant peut détruire les arbres.</v>
      </c>
      <c r="G108" s="8" t="str">
        <f t="shared" ca="1" si="4"/>
        <v>Netzwerk-Reset</v>
      </c>
      <c r="H108" s="10" t="str">
        <f ca="1">IFERROR(__xludf.DUMMYFUNCTION("GOOGLETRANSLATE(B3,""en"", ""tr"")"),"DOLU PAKET")</f>
        <v>DOLU PAKET</v>
      </c>
      <c r="I108" s="1" t="s">
        <v>2679</v>
      </c>
    </row>
    <row r="109" spans="1:9" ht="16.5">
      <c r="A109" s="7" t="s">
        <v>500</v>
      </c>
      <c r="B109" s="2" t="s">
        <v>501</v>
      </c>
      <c r="C109" s="8" t="s">
        <v>895</v>
      </c>
      <c r="D109" s="8" t="str">
        <f t="shared" ca="1" si="8"/>
        <v>Bajo la cascada</v>
      </c>
      <c r="E109" s="11" t="s">
        <v>502</v>
      </c>
      <c r="F109" s="8" t="str">
        <f t="shared" ca="1" si="7"/>
        <v>Un assistant peut détruire les arbres.</v>
      </c>
      <c r="G109" s="8" t="str">
        <f t="shared" ca="1" si="4"/>
        <v>Netzwerk-Reset</v>
      </c>
      <c r="H109" s="10" t="str">
        <f ca="1">IFERROR(__xludf.DUMMYFUNCTION("GOOGLETRANSLATE(B3,""en"", ""tr"")"),"DOLU PAKET")</f>
        <v>DOLU PAKET</v>
      </c>
      <c r="I109" s="1" t="s">
        <v>2735</v>
      </c>
    </row>
    <row r="110" spans="1:9" ht="16.5">
      <c r="A110" s="7" t="s">
        <v>503</v>
      </c>
      <c r="B110" s="2" t="s">
        <v>504</v>
      </c>
      <c r="C110" s="8" t="s">
        <v>2640</v>
      </c>
      <c r="D110" s="8" t="str">
        <f t="shared" ca="1" si="8"/>
        <v>Bajo la cascada</v>
      </c>
      <c r="E110" s="11" t="s">
        <v>505</v>
      </c>
      <c r="F110" s="8" t="str">
        <f t="shared" ca="1" si="7"/>
        <v>Un assistant peut détruire les arbres.</v>
      </c>
      <c r="G110" s="8" t="str">
        <f t="shared" ca="1" si="4"/>
        <v>Netzwerk-Reset</v>
      </c>
      <c r="H110" s="10" t="str">
        <f ca="1">IFERROR(__xludf.DUMMYFUNCTION("GOOGLETRANSLATE(B3,""en"", ""tr"")"),"DOLU PAKET")</f>
        <v>DOLU PAKET</v>
      </c>
      <c r="I110" s="1" t="s">
        <v>2680</v>
      </c>
    </row>
    <row r="111" spans="1:9" ht="114.75">
      <c r="A111" s="7" t="s">
        <v>506</v>
      </c>
      <c r="B111" s="2" t="s">
        <v>2873</v>
      </c>
      <c r="C111" s="13" t="s">
        <v>2874</v>
      </c>
      <c r="D111" s="11" t="s">
        <v>507</v>
      </c>
      <c r="E111" s="11" t="s">
        <v>508</v>
      </c>
      <c r="F111" s="8" t="str">
        <f t="shared" ca="1" si="7"/>
        <v>Un assistant peut détruire les arbres.</v>
      </c>
      <c r="G111" s="8" t="str">
        <f t="shared" ca="1" si="4"/>
        <v>Netzwerk-Reset</v>
      </c>
      <c r="H111" s="10" t="str">
        <f ca="1">IFERROR(__xludf.DUMMYFUNCTION("GOOGLETRANSLATE(B3,""en"", ""tr"")"),"DOLU PAKET")</f>
        <v>DOLU PAKET</v>
      </c>
      <c r="I111" s="1" t="s">
        <v>2872</v>
      </c>
    </row>
    <row r="112" spans="1:9" ht="178.5">
      <c r="A112" s="7" t="s">
        <v>509</v>
      </c>
      <c r="B112" s="2" t="s">
        <v>510</v>
      </c>
      <c r="C112" s="11" t="s">
        <v>511</v>
      </c>
      <c r="D112" s="8" t="str">
        <f t="shared" ref="D112:D123" ca="1" si="9">IFERROR(__xludf.DUMMYFUNCTION("GOOGLETRANSLATE(B112,""en"", ""es"")"),"Los enemigos que nos encontramos mientras persigue Newman no eran simples ladrones. Newman se había asegurado un descanso de salida en caso de que fracasó en la guerra. Era un enemigo, pero no pude evitar sentir admiración. Sin embargo, él no podía perdon"&amp;"arlo por amenazar tanto Orco y humana. Él empezó a perseguir Newman largo de la pista de nuevo.")</f>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12" s="8" t="s">
        <v>512</v>
      </c>
      <c r="F112" s="8" t="str">
        <f t="shared" ca="1" si="7"/>
        <v>Un assistant peut détruire les arbres.</v>
      </c>
      <c r="G112" s="8" t="str">
        <f t="shared" ca="1" si="4"/>
        <v>Netzwerk-Reset</v>
      </c>
      <c r="H112" s="10" t="str">
        <f ca="1">IFERROR(__xludf.DUMMYFUNCTION("GOOGLETRANSLATE(B3,""en"", ""tr"")"),"DOLU PAKET")</f>
        <v>DOLU PAKET</v>
      </c>
      <c r="I112" s="1" t="s">
        <v>2875</v>
      </c>
    </row>
    <row r="113" spans="1:9" ht="178.5">
      <c r="A113" s="7" t="s">
        <v>513</v>
      </c>
      <c r="B113" s="2" t="s">
        <v>514</v>
      </c>
      <c r="C113" s="11" t="s">
        <v>515</v>
      </c>
      <c r="D113"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13" s="11" t="s">
        <v>516</v>
      </c>
      <c r="F113" s="8" t="str">
        <f t="shared" ca="1" si="7"/>
        <v>Un assistant peut détruire les arbres.</v>
      </c>
      <c r="G113" s="8" t="str">
        <f t="shared" ca="1" si="4"/>
        <v>Netzwerk-Reset</v>
      </c>
      <c r="H113" s="10" t="str">
        <f ca="1">IFERROR(__xludf.DUMMYFUNCTION("GOOGLETRANSLATE(B3,""en"", ""tr"")"),"DOLU PAKET")</f>
        <v>DOLU PAKET</v>
      </c>
      <c r="I113" s="1" t="s">
        <v>2920</v>
      </c>
    </row>
    <row r="114" spans="1:9" ht="178.5">
      <c r="A114" s="7" t="s">
        <v>517</v>
      </c>
      <c r="B114" s="2" t="s">
        <v>518</v>
      </c>
      <c r="C114" s="11" t="s">
        <v>519</v>
      </c>
      <c r="D114"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14" s="11" t="s">
        <v>520</v>
      </c>
      <c r="F114" s="8" t="str">
        <f t="shared" ca="1" si="7"/>
        <v>Un assistant peut détruire les arbres.</v>
      </c>
      <c r="G114" s="8" t="str">
        <f t="shared" ca="1" si="4"/>
        <v>Netzwerk-Reset</v>
      </c>
      <c r="H114" s="10" t="str">
        <f ca="1">IFERROR(__xludf.DUMMYFUNCTION("GOOGLETRANSLATE(B3,""en"", ""tr"")"),"DOLU PAKET")</f>
        <v>DOLU PAKET</v>
      </c>
      <c r="I114" s="1" t="s">
        <v>2921</v>
      </c>
    </row>
    <row r="115" spans="1:9" ht="178.5">
      <c r="A115" s="7" t="s">
        <v>521</v>
      </c>
      <c r="B115" s="2" t="s">
        <v>522</v>
      </c>
      <c r="C115" s="11" t="s">
        <v>523</v>
      </c>
      <c r="D115"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15" s="11" t="s">
        <v>524</v>
      </c>
      <c r="F115" s="8" t="str">
        <f t="shared" ca="1" si="7"/>
        <v>Un assistant peut détruire les arbres.</v>
      </c>
      <c r="G115" s="8" t="str">
        <f t="shared" ca="1" si="4"/>
        <v>Netzwerk-Reset</v>
      </c>
      <c r="H115" s="10" t="str">
        <f ca="1">IFERROR(__xludf.DUMMYFUNCTION("GOOGLETRANSLATE(B3,""en"", ""tr"")"),"DOLU PAKET")</f>
        <v>DOLU PAKET</v>
      </c>
      <c r="I115" s="1" t="s">
        <v>2922</v>
      </c>
    </row>
    <row r="116" spans="1:9" ht="178.5">
      <c r="A116" s="7" t="s">
        <v>525</v>
      </c>
      <c r="B116" s="2" t="s">
        <v>526</v>
      </c>
      <c r="C116" s="11" t="s">
        <v>527</v>
      </c>
      <c r="D116"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16" s="11" t="s">
        <v>528</v>
      </c>
      <c r="F116" s="8" t="str">
        <f t="shared" ca="1" si="7"/>
        <v>Un assistant peut détruire les arbres.</v>
      </c>
      <c r="G116" s="8" t="str">
        <f t="shared" ca="1" si="4"/>
        <v>Netzwerk-Reset</v>
      </c>
      <c r="H116" s="10" t="str">
        <f ca="1">IFERROR(__xludf.DUMMYFUNCTION("GOOGLETRANSLATE(B3,""en"", ""tr"")"),"DOLU PAKET")</f>
        <v>DOLU PAKET</v>
      </c>
      <c r="I116" s="1" t="s">
        <v>2923</v>
      </c>
    </row>
    <row r="117" spans="1:9" ht="178.5">
      <c r="A117" s="7" t="s">
        <v>529</v>
      </c>
      <c r="B117" s="2" t="s">
        <v>530</v>
      </c>
      <c r="C117" s="11" t="s">
        <v>531</v>
      </c>
      <c r="D117"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17" s="11" t="s">
        <v>532</v>
      </c>
      <c r="F117" s="8" t="str">
        <f t="shared" ca="1" si="7"/>
        <v>Un assistant peut détruire les arbres.</v>
      </c>
      <c r="G117" s="8" t="str">
        <f t="shared" ca="1" si="4"/>
        <v>Netzwerk-Reset</v>
      </c>
      <c r="H117" s="10" t="str">
        <f ca="1">IFERROR(__xludf.DUMMYFUNCTION("GOOGLETRANSLATE(B3,""en"", ""tr"")"),"DOLU PAKET")</f>
        <v>DOLU PAKET</v>
      </c>
      <c r="I117" s="1" t="s">
        <v>2924</v>
      </c>
    </row>
    <row r="118" spans="1:9" ht="178.5">
      <c r="A118" s="7" t="s">
        <v>533</v>
      </c>
      <c r="B118" s="2" t="s">
        <v>534</v>
      </c>
      <c r="C118" s="11" t="s">
        <v>535</v>
      </c>
      <c r="D118"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18" s="11" t="s">
        <v>536</v>
      </c>
      <c r="F118" s="8" t="str">
        <f t="shared" ca="1" si="7"/>
        <v>Un assistant peut détruire les arbres.</v>
      </c>
      <c r="G118" s="8" t="str">
        <f t="shared" ca="1" si="4"/>
        <v>Netzwerk-Reset</v>
      </c>
      <c r="H118" s="10" t="str">
        <f ca="1">IFERROR(__xludf.DUMMYFUNCTION("GOOGLETRANSLATE(B3,""en"", ""tr"")"),"DOLU PAKET")</f>
        <v>DOLU PAKET</v>
      </c>
      <c r="I118" s="1" t="s">
        <v>2925</v>
      </c>
    </row>
    <row r="119" spans="1:9" ht="178.5">
      <c r="A119" s="7" t="s">
        <v>537</v>
      </c>
      <c r="B119" s="2" t="s">
        <v>538</v>
      </c>
      <c r="C119" s="11" t="s">
        <v>539</v>
      </c>
      <c r="D119"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19" s="11" t="s">
        <v>540</v>
      </c>
      <c r="F119" s="8" t="str">
        <f t="shared" ca="1" si="7"/>
        <v>Un assistant peut détruire les arbres.</v>
      </c>
      <c r="G119" s="8" t="str">
        <f t="shared" ca="1" si="4"/>
        <v>Netzwerk-Reset</v>
      </c>
      <c r="H119" s="10" t="str">
        <f ca="1">IFERROR(__xludf.DUMMYFUNCTION("GOOGLETRANSLATE(B3,""en"", ""tr"")"),"DOLU PAKET")</f>
        <v>DOLU PAKET</v>
      </c>
      <c r="I119" s="1" t="s">
        <v>2926</v>
      </c>
    </row>
    <row r="120" spans="1:9" ht="178.5">
      <c r="A120" s="7" t="s">
        <v>541</v>
      </c>
      <c r="B120" s="2" t="s">
        <v>542</v>
      </c>
      <c r="C120" s="11" t="s">
        <v>543</v>
      </c>
      <c r="D120"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20" s="11" t="s">
        <v>544</v>
      </c>
      <c r="F120" s="8" t="str">
        <f t="shared" ca="1" si="7"/>
        <v>Un assistant peut détruire les arbres.</v>
      </c>
      <c r="G120" s="8" t="str">
        <f t="shared" ca="1" si="4"/>
        <v>Netzwerk-Reset</v>
      </c>
      <c r="H120" s="10" t="str">
        <f ca="1">IFERROR(__xludf.DUMMYFUNCTION("GOOGLETRANSLATE(B3,""en"", ""tr"")"),"DOLU PAKET")</f>
        <v>DOLU PAKET</v>
      </c>
      <c r="I120" s="1" t="s">
        <v>2927</v>
      </c>
    </row>
    <row r="121" spans="1:9" ht="214.5">
      <c r="A121" s="7" t="s">
        <v>545</v>
      </c>
      <c r="B121" s="2" t="s">
        <v>546</v>
      </c>
      <c r="C121" s="11" t="s">
        <v>547</v>
      </c>
      <c r="D121"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21" s="11" t="s">
        <v>548</v>
      </c>
      <c r="F121" s="8" t="str">
        <f t="shared" ca="1" si="7"/>
        <v>Un assistant peut détruire les arbres.</v>
      </c>
      <c r="G121" s="8" t="str">
        <f t="shared" ca="1" si="4"/>
        <v>Netzwerk-Reset</v>
      </c>
      <c r="H121" s="10" t="str">
        <f ca="1">IFERROR(__xludf.DUMMYFUNCTION("GOOGLETRANSLATE(B3,""en"", ""tr"")"),"DOLU PAKET")</f>
        <v>DOLU PAKET</v>
      </c>
      <c r="I121" s="1" t="s">
        <v>2928</v>
      </c>
    </row>
    <row r="122" spans="1:9" ht="178.5">
      <c r="A122" s="7" t="s">
        <v>549</v>
      </c>
      <c r="B122" s="2" t="s">
        <v>550</v>
      </c>
      <c r="C122" s="11" t="s">
        <v>551</v>
      </c>
      <c r="D122"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22" s="11" t="s">
        <v>552</v>
      </c>
      <c r="F122" s="8" t="str">
        <f t="shared" ca="1" si="7"/>
        <v>Un assistant peut détruire les arbres.</v>
      </c>
      <c r="G122" s="8" t="str">
        <f t="shared" ca="1" si="4"/>
        <v>Netzwerk-Reset</v>
      </c>
      <c r="H122" s="10" t="str">
        <f ca="1">IFERROR(__xludf.DUMMYFUNCTION("GOOGLETRANSLATE(B3,""en"", ""tr"")"),"DOLU PAKET")</f>
        <v>DOLU PAKET</v>
      </c>
      <c r="I122" s="1" t="s">
        <v>2929</v>
      </c>
    </row>
    <row r="123" spans="1:9" ht="178.5">
      <c r="A123" s="17" t="s">
        <v>553</v>
      </c>
      <c r="B123" s="2" t="s">
        <v>2870</v>
      </c>
      <c r="C123" s="11" t="s">
        <v>554</v>
      </c>
      <c r="D123" s="8" t="str">
        <f t="shared" ca="1" si="9"/>
        <v>Los enemigos que nos encontramos mientras persigue Newman no eran simples ladrones. Newman se había asegurado un descanso de salida en caso de que fracasó en la guerra. Era un enemigo, pero no pude evitar sentir admiración. Sin embargo, él no podía perdonarlo por amenazar tanto Orco y humana. Él empezó a perseguir Newman largo de la pista de nuevo.</v>
      </c>
      <c r="E123" s="11" t="s">
        <v>555</v>
      </c>
      <c r="F123" s="8" t="str">
        <f t="shared" ca="1" si="7"/>
        <v>Un assistant peut détruire les arbres.</v>
      </c>
      <c r="G123" s="8" t="str">
        <f t="shared" ca="1" si="4"/>
        <v>Netzwerk-Reset</v>
      </c>
      <c r="H123" s="10" t="str">
        <f ca="1">IFERROR(__xludf.DUMMYFUNCTION("GOOGLETRANSLATE(B3,""en"", ""tr"")"),"DOLU PAKET")</f>
        <v>DOLU PAKET</v>
      </c>
      <c r="I123" s="1" t="s">
        <v>2871</v>
      </c>
    </row>
    <row r="124" spans="1:9" ht="16.5">
      <c r="A124" s="17"/>
      <c r="B124" s="2"/>
      <c r="C124" s="8"/>
      <c r="D124" s="19"/>
      <c r="E124" s="19"/>
      <c r="F124" s="19"/>
      <c r="G124" s="8" t="str">
        <f t="shared" ca="1" si="4"/>
        <v>Netzwerk-Reset</v>
      </c>
      <c r="H124" s="10" t="str">
        <f ca="1">IFERROR(__xludf.DUMMYFUNCTION("GOOGLETRANSLATE(B3,""en"", ""tr"")"),"DOLU PAKET")</f>
        <v>DOLU PAKET</v>
      </c>
      <c r="I124" s="1"/>
    </row>
    <row r="125" spans="1:9" ht="16.5">
      <c r="A125" s="17"/>
      <c r="B125" s="2"/>
      <c r="C125" s="8"/>
      <c r="D125" s="19"/>
      <c r="E125" s="19"/>
      <c r="F125" s="19"/>
      <c r="G125" s="8" t="str">
        <f t="shared" ca="1" si="4"/>
        <v>Netzwerk-Reset</v>
      </c>
      <c r="H125" s="10" t="str">
        <f ca="1">IFERROR(__xludf.DUMMYFUNCTION("GOOGLETRANSLATE(B3,""en"", ""tr"")"),"DOLU PAKET")</f>
        <v>DOLU PAKET</v>
      </c>
      <c r="I125" s="1"/>
    </row>
    <row r="126" spans="1:9" ht="16.5">
      <c r="A126" s="17"/>
      <c r="B126" s="2"/>
      <c r="C126" s="8"/>
      <c r="D126" s="19"/>
      <c r="E126" s="19"/>
      <c r="F126" s="19"/>
      <c r="G126" s="8" t="str">
        <f t="shared" ca="1" si="4"/>
        <v>Netzwerk-Reset</v>
      </c>
      <c r="H126" s="10" t="str">
        <f ca="1">IFERROR(__xludf.DUMMYFUNCTION("GOOGLETRANSLATE(B3,""en"", ""tr"")"),"DOLU PAKET")</f>
        <v>DOLU PAKET</v>
      </c>
      <c r="I126" s="1"/>
    </row>
    <row r="127" spans="1:9" ht="16.5">
      <c r="A127" s="17"/>
      <c r="B127" s="2"/>
      <c r="C127" s="8"/>
      <c r="D127" s="8" t="str">
        <f t="shared" ref="D127:D134" ca="1" si="10">IFERROR(__xludf.DUMMYFUNCTION("GOOGLETRANSLATE(B127,""en"", ""es"")"),"#VALUE!")</f>
        <v>#VALUE!</v>
      </c>
      <c r="E127" s="8" t="str">
        <f ca="1">IFERROR(__xludf.DUMMYFUNCTION("GOOGLETRANSLATE(B127,""en"", ""ru"")"),"#VALUE!")</f>
        <v>#VALUE!</v>
      </c>
      <c r="F127" s="8" t="str">
        <f ca="1">IFERROR(__xludf.DUMMYFUNCTION("GOOGLETRANSLATE(B127,""en"", ""fr"")"),"#VALUE!")</f>
        <v>#VALUE!</v>
      </c>
      <c r="G127" s="8" t="str">
        <f t="shared" ca="1" si="4"/>
        <v>Netzwerk-Reset</v>
      </c>
      <c r="H127" s="10" t="str">
        <f ca="1">IFERROR(__xludf.DUMMYFUNCTION("GOOGLETRANSLATE(B3,""en"", ""tr"")"),"DOLU PAKET")</f>
        <v>DOLU PAKET</v>
      </c>
      <c r="I127" s="1"/>
    </row>
    <row r="128" spans="1:9" ht="16.5">
      <c r="A128" s="17" t="s">
        <v>556</v>
      </c>
      <c r="B128" s="2" t="s">
        <v>557</v>
      </c>
      <c r="C128" s="11" t="s">
        <v>558</v>
      </c>
      <c r="D128" s="8" t="str">
        <f t="shared" ca="1" si="10"/>
        <v>#VALUE!</v>
      </c>
      <c r="E128" s="8" t="s">
        <v>559</v>
      </c>
      <c r="F128" s="9" t="s">
        <v>557</v>
      </c>
      <c r="G128" s="8" t="str">
        <f t="shared" ca="1" si="4"/>
        <v>Netzwerk-Reset</v>
      </c>
      <c r="H128" s="10" t="str">
        <f ca="1">IFERROR(__xludf.DUMMYFUNCTION("GOOGLETRANSLATE(B3,""en"", ""tr"")"),"DOLU PAKET")</f>
        <v>DOLU PAKET</v>
      </c>
      <c r="I128" s="1"/>
    </row>
    <row r="129" spans="1:9" ht="33">
      <c r="A129" s="7" t="s">
        <v>560</v>
      </c>
      <c r="B129" s="2" t="s">
        <v>561</v>
      </c>
      <c r="C129" s="11" t="s">
        <v>562</v>
      </c>
      <c r="D129" s="8" t="str">
        <f t="shared" ca="1" si="10"/>
        <v>#VALUE!</v>
      </c>
      <c r="E129" s="11" t="s">
        <v>563</v>
      </c>
      <c r="F129" s="9" t="s">
        <v>564</v>
      </c>
      <c r="G129" s="8" t="str">
        <f t="shared" ca="1" si="4"/>
        <v>Netzwerk-Reset</v>
      </c>
      <c r="H129" s="10" t="str">
        <f ca="1">IFERROR(__xludf.DUMMYFUNCTION("GOOGLETRANSLATE(B3,""en"", ""tr"")"),"DOLU PAKET")</f>
        <v>DOLU PAKET</v>
      </c>
      <c r="I129" s="1" t="s">
        <v>2681</v>
      </c>
    </row>
    <row r="130" spans="1:9" ht="25.5">
      <c r="A130" s="7" t="s">
        <v>565</v>
      </c>
      <c r="B130" s="2" t="s">
        <v>566</v>
      </c>
      <c r="C130" s="8" t="s">
        <v>2641</v>
      </c>
      <c r="D130" s="8" t="str">
        <f t="shared" ca="1" si="10"/>
        <v>#VALUE!</v>
      </c>
      <c r="E130" s="11" t="s">
        <v>567</v>
      </c>
      <c r="F130" s="9" t="s">
        <v>568</v>
      </c>
      <c r="G130" s="8" t="str">
        <f t="shared" ca="1" si="4"/>
        <v>Netzwerk-Reset</v>
      </c>
      <c r="H130" s="10" t="str">
        <f ca="1">IFERROR(__xludf.DUMMYFUNCTION("GOOGLETRANSLATE(B3,""en"", ""tr"")"),"DOLU PAKET")</f>
        <v>DOLU PAKET</v>
      </c>
      <c r="I130" s="1"/>
    </row>
    <row r="131" spans="1:9" ht="16.5">
      <c r="A131" s="7" t="s">
        <v>569</v>
      </c>
      <c r="B131" s="2" t="s">
        <v>570</v>
      </c>
      <c r="C131" s="8" t="s">
        <v>2642</v>
      </c>
      <c r="D131" s="8" t="str">
        <f t="shared" ca="1" si="10"/>
        <v>#VALUE!</v>
      </c>
      <c r="E131" s="8" t="s">
        <v>571</v>
      </c>
      <c r="F131" s="9" t="s">
        <v>572</v>
      </c>
      <c r="G131" s="8" t="str">
        <f t="shared" ca="1" si="4"/>
        <v>Netzwerk-Reset</v>
      </c>
      <c r="H131" s="10" t="str">
        <f ca="1">IFERROR(__xludf.DUMMYFUNCTION("GOOGLETRANSLATE(B3,""en"", ""tr"")"),"DOLU PAKET")</f>
        <v>DOLU PAKET</v>
      </c>
      <c r="I131" s="1" t="s">
        <v>2682</v>
      </c>
    </row>
    <row r="132" spans="1:9" ht="16.5">
      <c r="A132" s="7" t="s">
        <v>573</v>
      </c>
      <c r="B132" s="2" t="s">
        <v>574</v>
      </c>
      <c r="C132" s="8" t="s">
        <v>2643</v>
      </c>
      <c r="D132" s="8" t="str">
        <f t="shared" ca="1" si="10"/>
        <v>#VALUE!</v>
      </c>
      <c r="E132" s="8" t="s">
        <v>575</v>
      </c>
      <c r="F132" s="9" t="s">
        <v>576</v>
      </c>
      <c r="G132" s="8" t="str">
        <f t="shared" ca="1" si="4"/>
        <v>Netzwerk-Reset</v>
      </c>
      <c r="H132" s="10" t="str">
        <f ca="1">IFERROR(__xludf.DUMMYFUNCTION("GOOGLETRANSLATE(B3,""en"", ""tr"")"),"DOLU PAKET")</f>
        <v>DOLU PAKET</v>
      </c>
      <c r="I132" s="1" t="s">
        <v>2683</v>
      </c>
    </row>
    <row r="133" spans="1:9" ht="16.5">
      <c r="A133" s="7" t="s">
        <v>577</v>
      </c>
      <c r="B133" s="2" t="s">
        <v>578</v>
      </c>
      <c r="C133" s="11" t="s">
        <v>579</v>
      </c>
      <c r="D133" s="8" t="str">
        <f t="shared" ca="1" si="10"/>
        <v>#VALUE!</v>
      </c>
      <c r="E133" s="8" t="s">
        <v>580</v>
      </c>
      <c r="F133" s="9" t="s">
        <v>581</v>
      </c>
      <c r="G133" s="8" t="str">
        <f t="shared" ca="1" si="4"/>
        <v>Netzwerk-Reset</v>
      </c>
      <c r="H133" s="10" t="str">
        <f ca="1">IFERROR(__xludf.DUMMYFUNCTION("GOOGLETRANSLATE(B3,""en"", ""tr"")"),"DOLU PAKET")</f>
        <v>DOLU PAKET</v>
      </c>
      <c r="I133" s="1" t="s">
        <v>2684</v>
      </c>
    </row>
    <row r="134" spans="1:9" ht="16.5">
      <c r="A134" s="7" t="s">
        <v>582</v>
      </c>
      <c r="B134" s="2" t="s">
        <v>583</v>
      </c>
      <c r="C134" s="8" t="s">
        <v>2644</v>
      </c>
      <c r="D134" s="8" t="str">
        <f t="shared" ca="1" si="10"/>
        <v>#VALUE!</v>
      </c>
      <c r="E134" s="8" t="s">
        <v>584</v>
      </c>
      <c r="F134" s="9" t="s">
        <v>585</v>
      </c>
      <c r="G134" s="8" t="str">
        <f t="shared" ca="1" si="4"/>
        <v>Netzwerk-Reset</v>
      </c>
      <c r="H134" s="10" t="str">
        <f ca="1">IFERROR(__xludf.DUMMYFUNCTION("GOOGLETRANSLATE(B3,""en"", ""tr"")"),"DOLU PAKET")</f>
        <v>DOLU PAKET</v>
      </c>
      <c r="I134" s="1" t="s">
        <v>2685</v>
      </c>
    </row>
    <row r="135" spans="1:9" ht="16.5">
      <c r="A135" s="7" t="s">
        <v>586</v>
      </c>
      <c r="B135" s="2" t="s">
        <v>587</v>
      </c>
      <c r="C135" s="11" t="s">
        <v>588</v>
      </c>
      <c r="D135" s="2" t="s">
        <v>589</v>
      </c>
      <c r="E135" s="2" t="s">
        <v>590</v>
      </c>
      <c r="F135" s="9" t="s">
        <v>307</v>
      </c>
      <c r="G135" s="8" t="str">
        <f t="shared" ca="1" si="4"/>
        <v>Netzwerk-Reset</v>
      </c>
      <c r="H135" s="10" t="str">
        <f ca="1">IFERROR(__xludf.DUMMYFUNCTION("GOOGLETRANSLATE(B3,""en"", ""tr"")"),"DOLU PAKET")</f>
        <v>DOLU PAKET</v>
      </c>
      <c r="I135" s="1" t="s">
        <v>2686</v>
      </c>
    </row>
    <row r="136" spans="1:9" ht="16.5">
      <c r="A136" s="7" t="s">
        <v>591</v>
      </c>
      <c r="B136" s="2" t="s">
        <v>592</v>
      </c>
      <c r="C136" s="11" t="s">
        <v>593</v>
      </c>
      <c r="D136" s="2" t="s">
        <v>594</v>
      </c>
      <c r="E136" s="2" t="s">
        <v>595</v>
      </c>
      <c r="F136" s="9" t="s">
        <v>596</v>
      </c>
      <c r="G136" s="8" t="str">
        <f t="shared" ca="1" si="4"/>
        <v>Netzwerk-Reset</v>
      </c>
      <c r="H136" s="10" t="str">
        <f ca="1">IFERROR(__xludf.DUMMYFUNCTION("GOOGLETRANSLATE(B3,""en"", ""tr"")"),"DOLU PAKET")</f>
        <v>DOLU PAKET</v>
      </c>
      <c r="I136" s="1" t="s">
        <v>2687</v>
      </c>
    </row>
    <row r="137" spans="1:9" ht="16.5">
      <c r="A137" s="7" t="s">
        <v>597</v>
      </c>
      <c r="B137" s="2" t="s">
        <v>598</v>
      </c>
      <c r="C137" s="13" t="s">
        <v>2855</v>
      </c>
      <c r="D137" s="2" t="s">
        <v>599</v>
      </c>
      <c r="E137" s="2" t="s">
        <v>600</v>
      </c>
      <c r="F137" s="9" t="s">
        <v>601</v>
      </c>
      <c r="G137" s="8" t="str">
        <f t="shared" ca="1" si="4"/>
        <v>Netzwerk-Reset</v>
      </c>
      <c r="H137" s="10" t="str">
        <f ca="1">IFERROR(__xludf.DUMMYFUNCTION("GOOGLETRANSLATE(B3,""en"", ""tr"")"),"DOLU PAKET")</f>
        <v>DOLU PAKET</v>
      </c>
      <c r="I137" s="1" t="s">
        <v>2688</v>
      </c>
    </row>
    <row r="138" spans="1:9" ht="16.5">
      <c r="A138" s="7" t="s">
        <v>602</v>
      </c>
      <c r="B138" s="2" t="s">
        <v>603</v>
      </c>
      <c r="C138" s="11" t="s">
        <v>604</v>
      </c>
      <c r="D138" s="2" t="s">
        <v>605</v>
      </c>
      <c r="E138" s="2" t="s">
        <v>606</v>
      </c>
      <c r="F138" s="9" t="s">
        <v>607</v>
      </c>
      <c r="G138" s="8" t="str">
        <f t="shared" ca="1" si="4"/>
        <v>Netzwerk-Reset</v>
      </c>
      <c r="H138" s="10" t="str">
        <f ca="1">IFERROR(__xludf.DUMMYFUNCTION("GOOGLETRANSLATE(B3,""en"", ""tr"")"),"DOLU PAKET")</f>
        <v>DOLU PAKET</v>
      </c>
      <c r="I138" s="1" t="s">
        <v>2689</v>
      </c>
    </row>
    <row r="139" spans="1:9" ht="38.25">
      <c r="A139" s="7" t="s">
        <v>608</v>
      </c>
      <c r="B139" s="2" t="s">
        <v>609</v>
      </c>
      <c r="C139" s="8" t="s">
        <v>2645</v>
      </c>
      <c r="D139" s="8" t="str">
        <f ca="1">IFERROR(__xludf.DUMMYFUNCTION("GOOGLETRANSLATE(B139,""en"", ""es"")"),"No se pudo encontrar un oponente. Inténtelo de nuevo más tarde.")</f>
        <v>No se pudo encontrar un oponente. Inténtelo de nuevo más tarde.</v>
      </c>
      <c r="E139" s="8" t="s">
        <v>610</v>
      </c>
      <c r="F139" s="9" t="s">
        <v>611</v>
      </c>
      <c r="G139" s="8" t="str">
        <f t="shared" ca="1" si="4"/>
        <v>Netzwerk-Reset</v>
      </c>
      <c r="H139" s="10" t="str">
        <f ca="1">IFERROR(__xludf.DUMMYFUNCTION("GOOGLETRANSLATE(B3,""en"", ""tr"")"),"DOLU PAKET")</f>
        <v>DOLU PAKET</v>
      </c>
      <c r="I139" s="1" t="s">
        <v>2690</v>
      </c>
    </row>
    <row r="140" spans="1:9" ht="38.25">
      <c r="A140" s="7" t="s">
        <v>612</v>
      </c>
      <c r="B140" s="2" t="s">
        <v>613</v>
      </c>
      <c r="C140" s="8" t="s">
        <v>593</v>
      </c>
      <c r="D140" s="8" t="str">
        <f ca="1">IFERROR(__xludf.DUMMYFUNCTION("GOOGLETRANSLATE(B139,""en"", ""es"")"),"No se pudo encontrar un oponente. Inténtelo de nuevo más tarde.")</f>
        <v>No se pudo encontrar un oponente. Inténtelo de nuevo más tarde.</v>
      </c>
      <c r="E140" s="8" t="s">
        <v>614</v>
      </c>
      <c r="F140" s="9" t="s">
        <v>615</v>
      </c>
      <c r="G140" s="8" t="str">
        <f t="shared" ca="1" si="4"/>
        <v>Netzwerk-Reset</v>
      </c>
      <c r="H140" s="10" t="str">
        <f ca="1">IFERROR(__xludf.DUMMYFUNCTION("GOOGLETRANSLATE(B3,""en"", ""tr"")"),"DOLU PAKET")</f>
        <v>DOLU PAKET</v>
      </c>
      <c r="I140" s="1" t="s">
        <v>2691</v>
      </c>
    </row>
    <row r="141" spans="1:9" ht="38.25">
      <c r="A141" s="7" t="s">
        <v>616</v>
      </c>
      <c r="B141" s="2" t="s">
        <v>617</v>
      </c>
      <c r="C141" s="8" t="s">
        <v>2646</v>
      </c>
      <c r="D141" s="8" t="str">
        <f ca="1">IFERROR(__xludf.DUMMYFUNCTION("GOOGLETRANSLATE(B139,""en"", ""es"")"),"No se pudo encontrar un oponente. Inténtelo de nuevo más tarde.")</f>
        <v>No se pudo encontrar un oponente. Inténtelo de nuevo más tarde.</v>
      </c>
      <c r="E141" s="8" t="s">
        <v>618</v>
      </c>
      <c r="F141" s="9" t="s">
        <v>619</v>
      </c>
      <c r="G141" s="8" t="str">
        <f t="shared" ca="1" si="4"/>
        <v>Netzwerk-Reset</v>
      </c>
      <c r="H141" s="10" t="str">
        <f ca="1">IFERROR(__xludf.DUMMYFUNCTION("GOOGLETRANSLATE(B3,""en"", ""tr"")"),"DOLU PAKET")</f>
        <v>DOLU PAKET</v>
      </c>
      <c r="I141" s="1" t="s">
        <v>2692</v>
      </c>
    </row>
    <row r="142" spans="1:9" ht="16.5">
      <c r="A142" s="7" t="s">
        <v>620</v>
      </c>
      <c r="B142" s="2" t="s">
        <v>621</v>
      </c>
      <c r="C142" s="8" t="s">
        <v>622</v>
      </c>
      <c r="D142" s="2" t="s">
        <v>623</v>
      </c>
      <c r="E142" s="2" t="s">
        <v>624</v>
      </c>
      <c r="F142" s="9" t="s">
        <v>625</v>
      </c>
      <c r="G142" s="8" t="str">
        <f t="shared" ca="1" si="4"/>
        <v>Netzwerk-Reset</v>
      </c>
      <c r="H142" s="10" t="str">
        <f ca="1">IFERROR(__xludf.DUMMYFUNCTION("GOOGLETRANSLATE(B3,""en"", ""tr"")"),"DOLU PAKET")</f>
        <v>DOLU PAKET</v>
      </c>
      <c r="I142" s="1" t="s">
        <v>2693</v>
      </c>
    </row>
    <row r="143" spans="1:9" ht="16.5">
      <c r="A143" s="7" t="s">
        <v>626</v>
      </c>
      <c r="B143" s="2" t="s">
        <v>627</v>
      </c>
      <c r="C143" s="8" t="s">
        <v>628</v>
      </c>
      <c r="D143" s="2" t="s">
        <v>629</v>
      </c>
      <c r="E143" s="2" t="s">
        <v>630</v>
      </c>
      <c r="F143" s="9" t="s">
        <v>631</v>
      </c>
      <c r="G143" s="8" t="str">
        <f t="shared" ca="1" si="4"/>
        <v>Netzwerk-Reset</v>
      </c>
      <c r="H143" s="10" t="str">
        <f ca="1">IFERROR(__xludf.DUMMYFUNCTION("GOOGLETRANSLATE(B3,""en"", ""tr"")"),"DOLU PAKET")</f>
        <v>DOLU PAKET</v>
      </c>
      <c r="I143" s="1" t="s">
        <v>2694</v>
      </c>
    </row>
    <row r="144" spans="1:9" ht="16.5">
      <c r="A144" s="7" t="s">
        <v>632</v>
      </c>
      <c r="B144" s="2" t="s">
        <v>633</v>
      </c>
      <c r="C144" s="8" t="s">
        <v>634</v>
      </c>
      <c r="D144" s="2" t="s">
        <v>635</v>
      </c>
      <c r="E144" s="2" t="s">
        <v>636</v>
      </c>
      <c r="F144" s="9" t="s">
        <v>637</v>
      </c>
      <c r="G144" s="8" t="str">
        <f t="shared" ca="1" si="4"/>
        <v>Netzwerk-Reset</v>
      </c>
      <c r="H144" s="10" t="str">
        <f ca="1">IFERROR(__xludf.DUMMYFUNCTION("GOOGLETRANSLATE(B3,""en"", ""tr"")"),"DOLU PAKET")</f>
        <v>DOLU PAKET</v>
      </c>
      <c r="I144" s="1" t="s">
        <v>2695</v>
      </c>
    </row>
    <row r="145" spans="1:9" ht="16.5">
      <c r="A145" s="7" t="s">
        <v>638</v>
      </c>
      <c r="B145" s="2" t="s">
        <v>639</v>
      </c>
      <c r="C145" s="8" t="s">
        <v>640</v>
      </c>
      <c r="D145" s="2" t="s">
        <v>641</v>
      </c>
      <c r="E145" s="2" t="s">
        <v>642</v>
      </c>
      <c r="F145" s="9" t="s">
        <v>643</v>
      </c>
      <c r="G145" s="8" t="str">
        <f t="shared" ca="1" si="4"/>
        <v>Netzwerk-Reset</v>
      </c>
      <c r="H145" s="10" t="str">
        <f ca="1">IFERROR(__xludf.DUMMYFUNCTION("GOOGLETRANSLATE(B3,""en"", ""tr"")"),"DOLU PAKET")</f>
        <v>DOLU PAKET</v>
      </c>
      <c r="I145" s="1" t="s">
        <v>2696</v>
      </c>
    </row>
    <row r="146" spans="1:9" ht="16.5">
      <c r="A146" s="7" t="s">
        <v>644</v>
      </c>
      <c r="B146" s="2" t="s">
        <v>645</v>
      </c>
      <c r="C146" s="8" t="s">
        <v>646</v>
      </c>
      <c r="D146" s="2" t="s">
        <v>647</v>
      </c>
      <c r="E146" s="2" t="s">
        <v>648</v>
      </c>
      <c r="F146" s="9" t="s">
        <v>649</v>
      </c>
      <c r="G146" s="8" t="str">
        <f t="shared" ca="1" si="4"/>
        <v>Netzwerk-Reset</v>
      </c>
      <c r="H146" s="10" t="str">
        <f ca="1">IFERROR(__xludf.DUMMYFUNCTION("GOOGLETRANSLATE(B3,""en"", ""tr"")"),"DOLU PAKET")</f>
        <v>DOLU PAKET</v>
      </c>
      <c r="I146" s="1" t="s">
        <v>2697</v>
      </c>
    </row>
    <row r="147" spans="1:9" ht="16.5">
      <c r="A147" s="7" t="s">
        <v>650</v>
      </c>
      <c r="B147" s="2" t="s">
        <v>651</v>
      </c>
      <c r="C147" s="8" t="s">
        <v>652</v>
      </c>
      <c r="D147" s="2" t="s">
        <v>653</v>
      </c>
      <c r="E147" s="2" t="s">
        <v>654</v>
      </c>
      <c r="F147" s="9" t="s">
        <v>655</v>
      </c>
      <c r="G147" s="8" t="str">
        <f t="shared" ca="1" si="4"/>
        <v>Netzwerk-Reset</v>
      </c>
      <c r="H147" s="10" t="str">
        <f ca="1">IFERROR(__xludf.DUMMYFUNCTION("GOOGLETRANSLATE(B3,""en"", ""tr"")"),"DOLU PAKET")</f>
        <v>DOLU PAKET</v>
      </c>
      <c r="I147" s="1" t="s">
        <v>2698</v>
      </c>
    </row>
    <row r="148" spans="1:9" ht="16.5">
      <c r="A148" s="7" t="s">
        <v>325</v>
      </c>
      <c r="B148" s="2" t="s">
        <v>656</v>
      </c>
      <c r="C148" s="8" t="s">
        <v>657</v>
      </c>
      <c r="D148" s="2" t="s">
        <v>656</v>
      </c>
      <c r="E148" s="2" t="s">
        <v>658</v>
      </c>
      <c r="F148" s="9" t="s">
        <v>659</v>
      </c>
      <c r="G148" s="8" t="str">
        <f t="shared" ca="1" si="4"/>
        <v>Netzwerk-Reset</v>
      </c>
      <c r="H148" s="10" t="str">
        <f ca="1">IFERROR(__xludf.DUMMYFUNCTION("GOOGLETRANSLATE(B3,""en"", ""tr"")"),"DOLU PAKET")</f>
        <v>DOLU PAKET</v>
      </c>
      <c r="I148" s="1" t="s">
        <v>2611</v>
      </c>
    </row>
    <row r="149" spans="1:9" ht="16.5">
      <c r="A149" s="7" t="s">
        <v>660</v>
      </c>
      <c r="B149" s="2" t="s">
        <v>661</v>
      </c>
      <c r="C149" s="8" t="s">
        <v>662</v>
      </c>
      <c r="D149" s="2" t="s">
        <v>663</v>
      </c>
      <c r="E149" s="2" t="s">
        <v>664</v>
      </c>
      <c r="F149" s="9" t="s">
        <v>665</v>
      </c>
      <c r="G149" s="8" t="str">
        <f t="shared" ca="1" si="4"/>
        <v>Netzwerk-Reset</v>
      </c>
      <c r="H149" s="10" t="str">
        <f ca="1">IFERROR(__xludf.DUMMYFUNCTION("GOOGLETRANSLATE(B3,""en"", ""tr"")"),"DOLU PAKET")</f>
        <v>DOLU PAKET</v>
      </c>
      <c r="I149" s="1" t="s">
        <v>2612</v>
      </c>
    </row>
    <row r="150" spans="1:9" ht="49.5">
      <c r="A150" s="7" t="s">
        <v>666</v>
      </c>
      <c r="B150" s="2" t="s">
        <v>667</v>
      </c>
      <c r="C150" s="8" t="s">
        <v>668</v>
      </c>
      <c r="D150" s="2" t="s">
        <v>669</v>
      </c>
      <c r="E150" s="2" t="s">
        <v>670</v>
      </c>
      <c r="F150" s="9" t="s">
        <v>671</v>
      </c>
      <c r="G150" s="8" t="str">
        <f t="shared" ca="1" si="4"/>
        <v>Netzwerk-Reset</v>
      </c>
      <c r="H150" s="10" t="str">
        <f ca="1">IFERROR(__xludf.DUMMYFUNCTION("GOOGLETRANSLATE(B3,""en"", ""tr"")"),"DOLU PAKET")</f>
        <v>DOLU PAKET</v>
      </c>
      <c r="I150" s="1" t="s">
        <v>2699</v>
      </c>
    </row>
    <row r="151" spans="1:9" ht="25.5">
      <c r="A151" s="7" t="s">
        <v>672</v>
      </c>
      <c r="B151" s="2" t="s">
        <v>673</v>
      </c>
      <c r="C151" s="11" t="s">
        <v>674</v>
      </c>
      <c r="D151" s="2" t="s">
        <v>675</v>
      </c>
      <c r="E151" s="2" t="s">
        <v>676</v>
      </c>
      <c r="F151" s="9" t="s">
        <v>677</v>
      </c>
      <c r="G151" s="8" t="str">
        <f t="shared" ca="1" si="4"/>
        <v>Netzwerk-Reset</v>
      </c>
      <c r="H151" s="10" t="str">
        <f ca="1">IFERROR(__xludf.DUMMYFUNCTION("GOOGLETRANSLATE(B3,""en"", ""tr"")"),"DOLU PAKET")</f>
        <v>DOLU PAKET</v>
      </c>
      <c r="I151" s="1" t="s">
        <v>2700</v>
      </c>
    </row>
    <row r="152" spans="1:9" ht="16.5">
      <c r="A152" s="7" t="s">
        <v>678</v>
      </c>
      <c r="B152" s="2" t="s">
        <v>679</v>
      </c>
      <c r="C152" s="8" t="s">
        <v>680</v>
      </c>
      <c r="D152" s="2" t="s">
        <v>681</v>
      </c>
      <c r="E152" s="2" t="s">
        <v>682</v>
      </c>
      <c r="F152" s="9" t="s">
        <v>683</v>
      </c>
      <c r="G152" s="8" t="str">
        <f t="shared" ca="1" si="4"/>
        <v>Netzwerk-Reset</v>
      </c>
      <c r="H152" s="10" t="str">
        <f ca="1">IFERROR(__xludf.DUMMYFUNCTION("GOOGLETRANSLATE(B3,""en"", ""tr"")"),"DOLU PAKET")</f>
        <v>DOLU PAKET</v>
      </c>
      <c r="I152" s="1" t="s">
        <v>2701</v>
      </c>
    </row>
    <row r="153" spans="1:9" ht="16.5">
      <c r="A153" s="7" t="s">
        <v>684</v>
      </c>
      <c r="B153" s="2" t="s">
        <v>685</v>
      </c>
      <c r="C153" s="8" t="s">
        <v>686</v>
      </c>
      <c r="D153" s="2" t="s">
        <v>687</v>
      </c>
      <c r="E153" s="2" t="s">
        <v>688</v>
      </c>
      <c r="F153" s="9" t="s">
        <v>689</v>
      </c>
      <c r="G153" s="8" t="str">
        <f t="shared" ca="1" si="4"/>
        <v>Netzwerk-Reset</v>
      </c>
      <c r="H153" s="10" t="str">
        <f ca="1">IFERROR(__xludf.DUMMYFUNCTION("GOOGLETRANSLATE(B3,""en"", ""tr"")"),"DOLU PAKET")</f>
        <v>DOLU PAKET</v>
      </c>
      <c r="I153" s="1" t="s">
        <v>2702</v>
      </c>
    </row>
    <row r="154" spans="1:9" ht="16.5">
      <c r="A154" s="7" t="s">
        <v>690</v>
      </c>
      <c r="B154" s="2" t="s">
        <v>691</v>
      </c>
      <c r="C154" s="8" t="s">
        <v>692</v>
      </c>
      <c r="D154" s="2" t="s">
        <v>693</v>
      </c>
      <c r="E154" s="2" t="s">
        <v>694</v>
      </c>
      <c r="F154" s="9" t="s">
        <v>695</v>
      </c>
      <c r="G154" s="8" t="str">
        <f t="shared" ca="1" si="4"/>
        <v>Netzwerk-Reset</v>
      </c>
      <c r="H154" s="10" t="str">
        <f ca="1">IFERROR(__xludf.DUMMYFUNCTION("GOOGLETRANSLATE(B3,""en"", ""tr"")"),"DOLU PAKET")</f>
        <v>DOLU PAKET</v>
      </c>
      <c r="I154" s="1" t="s">
        <v>2703</v>
      </c>
    </row>
    <row r="155" spans="1:9" ht="16.5">
      <c r="A155" s="7" t="s">
        <v>696</v>
      </c>
      <c r="B155" s="2" t="s">
        <v>697</v>
      </c>
      <c r="C155" s="8" t="s">
        <v>698</v>
      </c>
      <c r="D155" s="2" t="s">
        <v>699</v>
      </c>
      <c r="E155" s="2" t="s">
        <v>700</v>
      </c>
      <c r="F155" s="9" t="s">
        <v>701</v>
      </c>
      <c r="G155" s="8" t="str">
        <f t="shared" ca="1" si="4"/>
        <v>Netzwerk-Reset</v>
      </c>
      <c r="H155" s="10" t="str">
        <f ca="1">IFERROR(__xludf.DUMMYFUNCTION("GOOGLETRANSLATE(B3,""en"", ""tr"")"),"DOLU PAKET")</f>
        <v>DOLU PAKET</v>
      </c>
      <c r="I155" s="1" t="s">
        <v>2704</v>
      </c>
    </row>
    <row r="156" spans="1:9" ht="16.5">
      <c r="A156" s="7" t="s">
        <v>702</v>
      </c>
      <c r="B156" s="2" t="s">
        <v>703</v>
      </c>
      <c r="C156" s="8" t="s">
        <v>704</v>
      </c>
      <c r="D156" s="2" t="s">
        <v>705</v>
      </c>
      <c r="E156" s="2" t="s">
        <v>706</v>
      </c>
      <c r="F156" s="9" t="s">
        <v>707</v>
      </c>
      <c r="G156" s="8" t="str">
        <f t="shared" ca="1" si="4"/>
        <v>Netzwerk-Reset</v>
      </c>
      <c r="H156" s="10" t="str">
        <f ca="1">IFERROR(__xludf.DUMMYFUNCTION("GOOGLETRANSLATE(B3,""en"", ""tr"")"),"DOLU PAKET")</f>
        <v>DOLU PAKET</v>
      </c>
      <c r="I156" s="1" t="s">
        <v>2705</v>
      </c>
    </row>
    <row r="157" spans="1:9" ht="16.5">
      <c r="A157" s="7" t="s">
        <v>708</v>
      </c>
      <c r="B157" s="2" t="s">
        <v>709</v>
      </c>
      <c r="C157" s="8" t="s">
        <v>710</v>
      </c>
      <c r="D157" s="2" t="s">
        <v>711</v>
      </c>
      <c r="E157" s="2" t="s">
        <v>712</v>
      </c>
      <c r="F157" s="9" t="s">
        <v>713</v>
      </c>
      <c r="G157" s="8" t="str">
        <f t="shared" ca="1" si="4"/>
        <v>Netzwerk-Reset</v>
      </c>
      <c r="H157" s="10" t="str">
        <f ca="1">IFERROR(__xludf.DUMMYFUNCTION("GOOGLETRANSLATE(B3,""en"", ""tr"")"),"DOLU PAKET")</f>
        <v>DOLU PAKET</v>
      </c>
      <c r="I157" s="1" t="s">
        <v>2707</v>
      </c>
    </row>
    <row r="158" spans="1:9" ht="16.5">
      <c r="A158" s="7" t="s">
        <v>714</v>
      </c>
      <c r="B158" s="2" t="s">
        <v>715</v>
      </c>
      <c r="C158" s="8" t="s">
        <v>716</v>
      </c>
      <c r="D158" s="2" t="s">
        <v>717</v>
      </c>
      <c r="E158" s="2" t="s">
        <v>718</v>
      </c>
      <c r="F158" s="9" t="s">
        <v>719</v>
      </c>
      <c r="G158" s="8" t="str">
        <f t="shared" ca="1" si="4"/>
        <v>Netzwerk-Reset</v>
      </c>
      <c r="H158" s="10" t="str">
        <f ca="1">IFERROR(__xludf.DUMMYFUNCTION("GOOGLETRANSLATE(B3,""en"", ""tr"")"),"DOLU PAKET")</f>
        <v>DOLU PAKET</v>
      </c>
      <c r="I158" s="1" t="s">
        <v>2706</v>
      </c>
    </row>
    <row r="159" spans="1:9" ht="16.5">
      <c r="A159" s="7" t="s">
        <v>720</v>
      </c>
      <c r="B159" s="2" t="s">
        <v>721</v>
      </c>
      <c r="C159" s="8" t="s">
        <v>722</v>
      </c>
      <c r="D159" s="2" t="s">
        <v>723</v>
      </c>
      <c r="E159" s="2" t="s">
        <v>724</v>
      </c>
      <c r="F159" s="9" t="s">
        <v>725</v>
      </c>
      <c r="G159" s="8" t="str">
        <f t="shared" ca="1" si="4"/>
        <v>Netzwerk-Reset</v>
      </c>
      <c r="H159" s="10" t="str">
        <f ca="1">IFERROR(__xludf.DUMMYFUNCTION("GOOGLETRANSLATE(B3,""en"", ""tr"")"),"DOLU PAKET")</f>
        <v>DOLU PAKET</v>
      </c>
      <c r="I159" s="1" t="s">
        <v>2708</v>
      </c>
    </row>
    <row r="160" spans="1:9" ht="16.5">
      <c r="A160" s="7" t="s">
        <v>726</v>
      </c>
      <c r="B160" s="2" t="s">
        <v>727</v>
      </c>
      <c r="C160" s="8" t="s">
        <v>728</v>
      </c>
      <c r="D160" s="2" t="s">
        <v>729</v>
      </c>
      <c r="E160" s="2" t="s">
        <v>730</v>
      </c>
      <c r="F160" s="9" t="s">
        <v>731</v>
      </c>
      <c r="G160" s="8" t="str">
        <f t="shared" ca="1" si="4"/>
        <v>Netzwerk-Reset</v>
      </c>
      <c r="H160" s="10" t="str">
        <f ca="1">IFERROR(__xludf.DUMMYFUNCTION("GOOGLETRANSLATE(B3,""en"", ""tr"")"),"DOLU PAKET")</f>
        <v>DOLU PAKET</v>
      </c>
      <c r="I160" s="1" t="s">
        <v>2709</v>
      </c>
    </row>
    <row r="161" spans="1:9" ht="16.5">
      <c r="A161" s="7" t="s">
        <v>732</v>
      </c>
      <c r="B161" s="2" t="s">
        <v>733</v>
      </c>
      <c r="C161" s="8" t="s">
        <v>734</v>
      </c>
      <c r="D161" s="2" t="s">
        <v>735</v>
      </c>
      <c r="E161" s="2" t="s">
        <v>736</v>
      </c>
      <c r="F161" s="9" t="s">
        <v>737</v>
      </c>
      <c r="G161" s="8" t="str">
        <f t="shared" ca="1" si="4"/>
        <v>Netzwerk-Reset</v>
      </c>
      <c r="H161" s="10" t="str">
        <f ca="1">IFERROR(__xludf.DUMMYFUNCTION("GOOGLETRANSLATE(B3,""en"", ""tr"")"),"DOLU PAKET")</f>
        <v>DOLU PAKET</v>
      </c>
      <c r="I161" s="1" t="s">
        <v>2710</v>
      </c>
    </row>
    <row r="162" spans="1:9" ht="16.5">
      <c r="A162" s="7" t="s">
        <v>738</v>
      </c>
      <c r="B162" s="2" t="s">
        <v>739</v>
      </c>
      <c r="C162" s="8" t="s">
        <v>740</v>
      </c>
      <c r="D162" s="2" t="s">
        <v>741</v>
      </c>
      <c r="E162" s="2" t="s">
        <v>742</v>
      </c>
      <c r="F162" s="9" t="s">
        <v>743</v>
      </c>
      <c r="G162" s="8" t="str">
        <f t="shared" ca="1" si="4"/>
        <v>Netzwerk-Reset</v>
      </c>
      <c r="H162" s="10" t="str">
        <f ca="1">IFERROR(__xludf.DUMMYFUNCTION("GOOGLETRANSLATE(B3,""en"", ""tr"")"),"DOLU PAKET")</f>
        <v>DOLU PAKET</v>
      </c>
      <c r="I162" s="1" t="s">
        <v>2711</v>
      </c>
    </row>
    <row r="163" spans="1:9" ht="16.5">
      <c r="A163" s="7" t="s">
        <v>744</v>
      </c>
      <c r="B163" s="2" t="s">
        <v>745</v>
      </c>
      <c r="C163" s="8" t="s">
        <v>746</v>
      </c>
      <c r="D163" s="2" t="s">
        <v>747</v>
      </c>
      <c r="E163" s="2" t="s">
        <v>748</v>
      </c>
      <c r="F163" s="9" t="s">
        <v>749</v>
      </c>
      <c r="G163" s="8" t="str">
        <f t="shared" ca="1" si="4"/>
        <v>Netzwerk-Reset</v>
      </c>
      <c r="H163" s="10" t="str">
        <f ca="1">IFERROR(__xludf.DUMMYFUNCTION("GOOGLETRANSLATE(B3,""en"", ""tr"")"),"DOLU PAKET")</f>
        <v>DOLU PAKET</v>
      </c>
      <c r="I163" s="1" t="s">
        <v>2712</v>
      </c>
    </row>
    <row r="164" spans="1:9" ht="89.25">
      <c r="A164" s="7" t="s">
        <v>750</v>
      </c>
      <c r="B164" s="2" t="s">
        <v>751</v>
      </c>
      <c r="C164" s="8" t="s">
        <v>752</v>
      </c>
      <c r="D164" s="2" t="s">
        <v>753</v>
      </c>
      <c r="E164" s="2" t="s">
        <v>754</v>
      </c>
      <c r="F164" s="9" t="s">
        <v>755</v>
      </c>
      <c r="G164" s="8" t="str">
        <f t="shared" ca="1" si="4"/>
        <v>Netzwerk-Reset</v>
      </c>
      <c r="H164" s="10" t="str">
        <f ca="1">IFERROR(__xludf.DUMMYFUNCTION("GOOGLETRANSLATE(B3,""en"", ""tr"")"),"DOLU PAKET")</f>
        <v>DOLU PAKET</v>
      </c>
      <c r="I164" s="1"/>
    </row>
    <row r="165" spans="1:9" ht="16.5">
      <c r="A165" s="7" t="s">
        <v>756</v>
      </c>
      <c r="B165" s="2" t="s">
        <v>757</v>
      </c>
      <c r="C165" s="8" t="s">
        <v>758</v>
      </c>
      <c r="D165" s="2" t="s">
        <v>759</v>
      </c>
      <c r="E165" s="2" t="s">
        <v>760</v>
      </c>
      <c r="F165" s="9" t="s">
        <v>761</v>
      </c>
      <c r="G165" s="8" t="str">
        <f t="shared" ca="1" si="4"/>
        <v>Netzwerk-Reset</v>
      </c>
      <c r="H165" s="10" t="str">
        <f ca="1">IFERROR(__xludf.DUMMYFUNCTION("GOOGLETRANSLATE(B3,""en"", ""tr"")"),"DOLU PAKET")</f>
        <v>DOLU PAKET</v>
      </c>
      <c r="I165" s="1" t="s">
        <v>2713</v>
      </c>
    </row>
    <row r="166" spans="1:9" ht="16.5">
      <c r="A166" s="7" t="s">
        <v>762</v>
      </c>
      <c r="B166" s="2" t="s">
        <v>763</v>
      </c>
      <c r="C166" s="8" t="s">
        <v>764</v>
      </c>
      <c r="D166" s="2" t="s">
        <v>765</v>
      </c>
      <c r="E166" s="2" t="s">
        <v>766</v>
      </c>
      <c r="F166" s="9" t="s">
        <v>767</v>
      </c>
      <c r="G166" s="8" t="str">
        <f t="shared" ca="1" si="4"/>
        <v>Netzwerk-Reset</v>
      </c>
      <c r="H166" s="10" t="str">
        <f ca="1">IFERROR(__xludf.DUMMYFUNCTION("GOOGLETRANSLATE(B3,""en"", ""tr"")"),"DOLU PAKET")</f>
        <v>DOLU PAKET</v>
      </c>
      <c r="I166" s="1" t="s">
        <v>2714</v>
      </c>
    </row>
    <row r="167" spans="1:9" ht="16.5">
      <c r="A167" s="7" t="s">
        <v>768</v>
      </c>
      <c r="B167" s="2" t="s">
        <v>769</v>
      </c>
      <c r="C167" s="8" t="s">
        <v>770</v>
      </c>
      <c r="D167" s="2" t="s">
        <v>771</v>
      </c>
      <c r="E167" s="2" t="s">
        <v>772</v>
      </c>
      <c r="F167" s="9" t="s">
        <v>773</v>
      </c>
      <c r="G167" s="8" t="str">
        <f t="shared" ca="1" si="4"/>
        <v>Netzwerk-Reset</v>
      </c>
      <c r="H167" s="10" t="str">
        <f ca="1">IFERROR(__xludf.DUMMYFUNCTION("GOOGLETRANSLATE(B3,""en"", ""tr"")"),"DOLU PAKET")</f>
        <v>DOLU PAKET</v>
      </c>
      <c r="I167" s="1" t="s">
        <v>2715</v>
      </c>
    </row>
    <row r="168" spans="1:9" ht="16.5">
      <c r="A168" s="7" t="s">
        <v>774</v>
      </c>
      <c r="B168" s="2" t="s">
        <v>775</v>
      </c>
      <c r="C168" s="8" t="s">
        <v>776</v>
      </c>
      <c r="D168" s="2" t="s">
        <v>777</v>
      </c>
      <c r="E168" s="2" t="s">
        <v>778</v>
      </c>
      <c r="F168" s="9" t="s">
        <v>779</v>
      </c>
      <c r="G168" s="8" t="str">
        <f t="shared" ca="1" si="4"/>
        <v>Netzwerk-Reset</v>
      </c>
      <c r="H168" s="10" t="str">
        <f ca="1">IFERROR(__xludf.DUMMYFUNCTION("GOOGLETRANSLATE(B3,""en"", ""tr"")"),"DOLU PAKET")</f>
        <v>DOLU PAKET</v>
      </c>
      <c r="I168" s="1" t="s">
        <v>2716</v>
      </c>
    </row>
    <row r="169" spans="1:9" ht="16.5">
      <c r="A169" s="7" t="s">
        <v>780</v>
      </c>
      <c r="B169" s="2" t="s">
        <v>781</v>
      </c>
      <c r="C169" s="8" t="s">
        <v>782</v>
      </c>
      <c r="D169" s="2" t="s">
        <v>783</v>
      </c>
      <c r="E169" s="2" t="s">
        <v>784</v>
      </c>
      <c r="F169" s="9" t="s">
        <v>785</v>
      </c>
      <c r="G169" s="8" t="str">
        <f t="shared" ca="1" si="4"/>
        <v>Netzwerk-Reset</v>
      </c>
      <c r="H169" s="10" t="str">
        <f ca="1">IFERROR(__xludf.DUMMYFUNCTION("GOOGLETRANSLATE(B3,""en"", ""tr"")"),"DOLU PAKET")</f>
        <v>DOLU PAKET</v>
      </c>
      <c r="I169" s="1" t="s">
        <v>2717</v>
      </c>
    </row>
    <row r="170" spans="1:9" ht="16.5">
      <c r="A170" s="7" t="s">
        <v>786</v>
      </c>
      <c r="B170" s="2" t="s">
        <v>787</v>
      </c>
      <c r="C170" s="8" t="s">
        <v>788</v>
      </c>
      <c r="D170" s="2" t="s">
        <v>789</v>
      </c>
      <c r="E170" s="2" t="s">
        <v>790</v>
      </c>
      <c r="F170" s="9" t="s">
        <v>791</v>
      </c>
      <c r="G170" s="8" t="str">
        <f t="shared" ca="1" si="4"/>
        <v>Netzwerk-Reset</v>
      </c>
      <c r="H170" s="10" t="str">
        <f ca="1">IFERROR(__xludf.DUMMYFUNCTION("GOOGLETRANSLATE(B3,""en"", ""tr"")"),"DOLU PAKET")</f>
        <v>DOLU PAKET</v>
      </c>
      <c r="I170" s="1" t="s">
        <v>2718</v>
      </c>
    </row>
    <row r="171" spans="1:9" ht="16.5">
      <c r="A171" s="7" t="s">
        <v>792</v>
      </c>
      <c r="B171" s="2" t="s">
        <v>793</v>
      </c>
      <c r="C171" s="8" t="s">
        <v>794</v>
      </c>
      <c r="D171" s="2" t="s">
        <v>795</v>
      </c>
      <c r="E171" s="2" t="s">
        <v>796</v>
      </c>
      <c r="F171" s="9" t="s">
        <v>797</v>
      </c>
      <c r="G171" s="8" t="str">
        <f t="shared" ca="1" si="4"/>
        <v>Netzwerk-Reset</v>
      </c>
      <c r="H171" s="10" t="str">
        <f ca="1">IFERROR(__xludf.DUMMYFUNCTION("GOOGLETRANSLATE(B3,""en"", ""tr"")"),"DOLU PAKET")</f>
        <v>DOLU PAKET</v>
      </c>
      <c r="I171" s="1" t="s">
        <v>2719</v>
      </c>
    </row>
    <row r="172" spans="1:9" ht="16.5">
      <c r="A172" s="7" t="s">
        <v>340</v>
      </c>
      <c r="B172" s="2" t="s">
        <v>798</v>
      </c>
      <c r="C172" s="8" t="s">
        <v>799</v>
      </c>
      <c r="D172" s="2" t="s">
        <v>800</v>
      </c>
      <c r="E172" s="2" t="s">
        <v>801</v>
      </c>
      <c r="F172" s="9" t="s">
        <v>802</v>
      </c>
      <c r="G172" s="8" t="str">
        <f t="shared" ca="1" si="4"/>
        <v>Netzwerk-Reset</v>
      </c>
      <c r="H172" s="10" t="str">
        <f ca="1">IFERROR(__xludf.DUMMYFUNCTION("GOOGLETRANSLATE(B3,""en"", ""tr"")"),"DOLU PAKET")</f>
        <v>DOLU PAKET</v>
      </c>
      <c r="I172" s="1" t="s">
        <v>2614</v>
      </c>
    </row>
    <row r="173" spans="1:9" ht="16.5">
      <c r="A173" s="7" t="s">
        <v>803</v>
      </c>
      <c r="B173" s="2" t="s">
        <v>804</v>
      </c>
      <c r="C173" s="8" t="s">
        <v>805</v>
      </c>
      <c r="D173" s="2" t="s">
        <v>806</v>
      </c>
      <c r="E173" s="2" t="s">
        <v>807</v>
      </c>
      <c r="F173" s="9" t="s">
        <v>808</v>
      </c>
      <c r="G173" s="8" t="str">
        <f t="shared" ca="1" si="4"/>
        <v>Netzwerk-Reset</v>
      </c>
      <c r="H173" s="10" t="str">
        <f ca="1">IFERROR(__xludf.DUMMYFUNCTION("GOOGLETRANSLATE(B3,""en"", ""tr"")"),"DOLU PAKET")</f>
        <v>DOLU PAKET</v>
      </c>
      <c r="I173" s="1" t="s">
        <v>2720</v>
      </c>
    </row>
    <row r="174" spans="1:9" ht="16.5">
      <c r="A174" s="7" t="s">
        <v>809</v>
      </c>
      <c r="B174" s="2" t="s">
        <v>810</v>
      </c>
      <c r="C174" s="8" t="s">
        <v>811</v>
      </c>
      <c r="D174" s="2" t="s">
        <v>812</v>
      </c>
      <c r="E174" s="2" t="s">
        <v>813</v>
      </c>
      <c r="F174" s="9" t="s">
        <v>814</v>
      </c>
      <c r="G174" s="8" t="str">
        <f t="shared" ca="1" si="4"/>
        <v>Netzwerk-Reset</v>
      </c>
      <c r="H174" s="10" t="str">
        <f ca="1">IFERROR(__xludf.DUMMYFUNCTION("GOOGLETRANSLATE(B3,""en"", ""tr"")"),"DOLU PAKET")</f>
        <v>DOLU PAKET</v>
      </c>
      <c r="I174" s="1" t="s">
        <v>2721</v>
      </c>
    </row>
    <row r="175" spans="1:9" ht="16.5">
      <c r="A175" s="7" t="s">
        <v>815</v>
      </c>
      <c r="B175" s="2" t="s">
        <v>816</v>
      </c>
      <c r="C175" s="8" t="s">
        <v>817</v>
      </c>
      <c r="D175" s="2" t="s">
        <v>818</v>
      </c>
      <c r="E175" s="2" t="s">
        <v>819</v>
      </c>
      <c r="F175" s="9" t="s">
        <v>820</v>
      </c>
      <c r="G175" s="8" t="str">
        <f t="shared" ca="1" si="4"/>
        <v>Netzwerk-Reset</v>
      </c>
      <c r="H175" s="10" t="str">
        <f ca="1">IFERROR(__xludf.DUMMYFUNCTION("GOOGLETRANSLATE(B3,""en"", ""tr"")"),"DOLU PAKET")</f>
        <v>DOLU PAKET</v>
      </c>
      <c r="I175" s="1" t="s">
        <v>2722</v>
      </c>
    </row>
    <row r="176" spans="1:9" ht="16.5">
      <c r="A176" s="7" t="s">
        <v>821</v>
      </c>
      <c r="B176" s="2" t="s">
        <v>822</v>
      </c>
      <c r="C176" s="11" t="s">
        <v>823</v>
      </c>
      <c r="D176" s="2" t="s">
        <v>824</v>
      </c>
      <c r="E176" s="2" t="s">
        <v>825</v>
      </c>
      <c r="F176" s="9" t="s">
        <v>826</v>
      </c>
      <c r="G176" s="8" t="str">
        <f t="shared" ca="1" si="4"/>
        <v>Netzwerk-Reset</v>
      </c>
      <c r="H176" s="10" t="str">
        <f ca="1">IFERROR(__xludf.DUMMYFUNCTION("GOOGLETRANSLATE(B3,""en"", ""tr"")"),"DOLU PAKET")</f>
        <v>DOLU PAKET</v>
      </c>
      <c r="I176" s="1" t="s">
        <v>2723</v>
      </c>
    </row>
    <row r="177" spans="1:9" ht="16.5">
      <c r="A177" s="7" t="s">
        <v>827</v>
      </c>
      <c r="B177" s="2" t="s">
        <v>828</v>
      </c>
      <c r="C177" s="8" t="s">
        <v>829</v>
      </c>
      <c r="D177" s="2" t="s">
        <v>830</v>
      </c>
      <c r="E177" s="2" t="s">
        <v>831</v>
      </c>
      <c r="F177" s="9" t="s">
        <v>828</v>
      </c>
      <c r="G177" s="8" t="str">
        <f t="shared" ca="1" si="4"/>
        <v>Netzwerk-Reset</v>
      </c>
      <c r="H177" s="10" t="str">
        <f ca="1">IFERROR(__xludf.DUMMYFUNCTION("GOOGLETRANSLATE(B3,""en"", ""tr"")"),"DOLU PAKET")</f>
        <v>DOLU PAKET</v>
      </c>
      <c r="I177" s="1" t="s">
        <v>2724</v>
      </c>
    </row>
    <row r="178" spans="1:9" ht="16.5">
      <c r="A178" s="7" t="s">
        <v>832</v>
      </c>
      <c r="B178" s="2" t="s">
        <v>833</v>
      </c>
      <c r="C178" s="8" t="s">
        <v>834</v>
      </c>
      <c r="D178" s="2" t="s">
        <v>835</v>
      </c>
      <c r="E178" s="2" t="s">
        <v>836</v>
      </c>
      <c r="F178" s="9" t="s">
        <v>837</v>
      </c>
      <c r="G178" s="8" t="str">
        <f t="shared" ca="1" si="4"/>
        <v>Netzwerk-Reset</v>
      </c>
      <c r="H178" s="10" t="str">
        <f ca="1">IFERROR(__xludf.DUMMYFUNCTION("GOOGLETRANSLATE(B3,""en"", ""tr"")"),"DOLU PAKET")</f>
        <v>DOLU PAKET</v>
      </c>
      <c r="I178" s="1"/>
    </row>
    <row r="179" spans="1:9" ht="16.5">
      <c r="A179" s="7" t="s">
        <v>838</v>
      </c>
      <c r="B179" s="2" t="s">
        <v>839</v>
      </c>
      <c r="C179" s="8" t="s">
        <v>840</v>
      </c>
      <c r="D179" s="2" t="s">
        <v>841</v>
      </c>
      <c r="E179" s="2" t="s">
        <v>842</v>
      </c>
      <c r="F179" s="9" t="s">
        <v>843</v>
      </c>
      <c r="G179" s="8" t="str">
        <f t="shared" ca="1" si="4"/>
        <v>Netzwerk-Reset</v>
      </c>
      <c r="H179" s="10" t="str">
        <f ca="1">IFERROR(__xludf.DUMMYFUNCTION("GOOGLETRANSLATE(B3,""en"", ""tr"")"),"DOLU PAKET")</f>
        <v>DOLU PAKET</v>
      </c>
      <c r="I179" s="1" t="s">
        <v>2725</v>
      </c>
    </row>
    <row r="180" spans="1:9" ht="16.5">
      <c r="A180" s="7" t="s">
        <v>844</v>
      </c>
      <c r="B180" s="2" t="s">
        <v>845</v>
      </c>
      <c r="C180" s="8" t="s">
        <v>846</v>
      </c>
      <c r="D180" s="2" t="s">
        <v>847</v>
      </c>
      <c r="E180" s="2" t="s">
        <v>848</v>
      </c>
      <c r="F180" s="9" t="s">
        <v>849</v>
      </c>
      <c r="G180" s="8" t="str">
        <f t="shared" ca="1" si="4"/>
        <v>Netzwerk-Reset</v>
      </c>
      <c r="H180" s="10" t="str">
        <f ca="1">IFERROR(__xludf.DUMMYFUNCTION("GOOGLETRANSLATE(B3,""en"", ""tr"")"),"DOLU PAKET")</f>
        <v>DOLU PAKET</v>
      </c>
      <c r="I180" s="1" t="s">
        <v>2726</v>
      </c>
    </row>
    <row r="181" spans="1:9" ht="16.5">
      <c r="A181" s="7" t="s">
        <v>850</v>
      </c>
      <c r="B181" s="2" t="s">
        <v>851</v>
      </c>
      <c r="C181" s="8" t="s">
        <v>852</v>
      </c>
      <c r="D181" s="9"/>
      <c r="E181" s="9" t="s">
        <v>853</v>
      </c>
      <c r="F181" s="9" t="s">
        <v>854</v>
      </c>
      <c r="G181" s="8" t="str">
        <f t="shared" ca="1" si="4"/>
        <v>Netzwerk-Reset</v>
      </c>
      <c r="H181" s="10" t="str">
        <f ca="1">IFERROR(__xludf.DUMMYFUNCTION("GOOGLETRANSLATE(B3,""en"", ""tr"")"),"DOLU PAKET")</f>
        <v>DOLU PAKET</v>
      </c>
      <c r="I181" s="1" t="s">
        <v>2727</v>
      </c>
    </row>
    <row r="182" spans="1:9" ht="16.5">
      <c r="A182" s="7" t="s">
        <v>855</v>
      </c>
      <c r="B182" s="2" t="s">
        <v>855</v>
      </c>
      <c r="C182" s="8" t="s">
        <v>856</v>
      </c>
      <c r="D182" s="2" t="s">
        <v>857</v>
      </c>
      <c r="E182" s="2" t="s">
        <v>858</v>
      </c>
      <c r="F182" s="9" t="s">
        <v>859</v>
      </c>
      <c r="G182" s="8" t="str">
        <f t="shared" ca="1" si="4"/>
        <v>Netzwerk-Reset</v>
      </c>
      <c r="H182" s="10" t="str">
        <f ca="1">IFERROR(__xludf.DUMMYFUNCTION("GOOGLETRANSLATE(B3,""en"", ""tr"")"),"DOLU PAKET")</f>
        <v>DOLU PAKET</v>
      </c>
      <c r="I182" s="1" t="s">
        <v>2728</v>
      </c>
    </row>
    <row r="183" spans="1:9" ht="16.5">
      <c r="A183" s="7" t="s">
        <v>860</v>
      </c>
      <c r="B183" s="2" t="s">
        <v>860</v>
      </c>
      <c r="C183" s="8" t="s">
        <v>861</v>
      </c>
      <c r="D183" s="2" t="s">
        <v>862</v>
      </c>
      <c r="E183" s="2" t="s">
        <v>863</v>
      </c>
      <c r="F183" s="9" t="s">
        <v>860</v>
      </c>
      <c r="G183" s="8" t="str">
        <f t="shared" ca="1" si="4"/>
        <v>Netzwerk-Reset</v>
      </c>
      <c r="H183" s="10" t="str">
        <f ca="1">IFERROR(__xludf.DUMMYFUNCTION("GOOGLETRANSLATE(B3,""en"", ""tr"")"),"DOLU PAKET")</f>
        <v>DOLU PAKET</v>
      </c>
      <c r="I183" s="1" t="s">
        <v>2729</v>
      </c>
    </row>
    <row r="184" spans="1:9" ht="16.5">
      <c r="A184" s="7" t="s">
        <v>864</v>
      </c>
      <c r="B184" s="2" t="s">
        <v>864</v>
      </c>
      <c r="C184" s="8" t="s">
        <v>865</v>
      </c>
      <c r="D184" s="2" t="s">
        <v>866</v>
      </c>
      <c r="E184" s="2" t="s">
        <v>867</v>
      </c>
      <c r="F184" s="9" t="s">
        <v>868</v>
      </c>
      <c r="G184" s="8" t="str">
        <f t="shared" ca="1" si="4"/>
        <v>Netzwerk-Reset</v>
      </c>
      <c r="H184" s="10" t="str">
        <f ca="1">IFERROR(__xludf.DUMMYFUNCTION("GOOGLETRANSLATE(B3,""en"", ""tr"")"),"DOLU PAKET")</f>
        <v>DOLU PAKET</v>
      </c>
      <c r="I184" s="1" t="s">
        <v>2730</v>
      </c>
    </row>
    <row r="185" spans="1:9" ht="16.5">
      <c r="A185" s="7" t="s">
        <v>869</v>
      </c>
      <c r="B185" s="2" t="s">
        <v>869</v>
      </c>
      <c r="C185" s="8" t="s">
        <v>870</v>
      </c>
      <c r="D185" s="2" t="s">
        <v>871</v>
      </c>
      <c r="E185" s="2" t="s">
        <v>872</v>
      </c>
      <c r="F185" s="9" t="s">
        <v>873</v>
      </c>
      <c r="G185" s="8" t="str">
        <f t="shared" ca="1" si="4"/>
        <v>Netzwerk-Reset</v>
      </c>
      <c r="H185" s="10" t="str">
        <f ca="1">IFERROR(__xludf.DUMMYFUNCTION("GOOGLETRANSLATE(B3,""en"", ""tr"")"),"DOLU PAKET")</f>
        <v>DOLU PAKET</v>
      </c>
      <c r="I185" s="1" t="s">
        <v>2686</v>
      </c>
    </row>
    <row r="186" spans="1:9" ht="16.5">
      <c r="A186" s="7" t="s">
        <v>874</v>
      </c>
      <c r="B186" s="2" t="s">
        <v>874</v>
      </c>
      <c r="C186" s="8" t="s">
        <v>875</v>
      </c>
      <c r="D186" s="2" t="s">
        <v>876</v>
      </c>
      <c r="E186" s="2" t="s">
        <v>877</v>
      </c>
      <c r="F186" s="9" t="s">
        <v>878</v>
      </c>
      <c r="G186" s="8" t="str">
        <f t="shared" ca="1" si="4"/>
        <v>Netzwerk-Reset</v>
      </c>
      <c r="H186" s="10" t="str">
        <f ca="1">IFERROR(__xludf.DUMMYFUNCTION("GOOGLETRANSLATE(B3,""en"", ""tr"")"),"DOLU PAKET")</f>
        <v>DOLU PAKET</v>
      </c>
      <c r="I186" s="1" t="s">
        <v>2731</v>
      </c>
    </row>
    <row r="187" spans="1:9" ht="16.5">
      <c r="A187" s="7" t="s">
        <v>879</v>
      </c>
      <c r="B187" s="2" t="s">
        <v>879</v>
      </c>
      <c r="C187" s="8" t="s">
        <v>880</v>
      </c>
      <c r="D187" s="2" t="s">
        <v>881</v>
      </c>
      <c r="E187" s="2" t="s">
        <v>882</v>
      </c>
      <c r="F187" s="9" t="s">
        <v>883</v>
      </c>
      <c r="G187" s="8" t="str">
        <f t="shared" ca="1" si="4"/>
        <v>Netzwerk-Reset</v>
      </c>
      <c r="H187" s="10" t="str">
        <f ca="1">IFERROR(__xludf.DUMMYFUNCTION("GOOGLETRANSLATE(B3,""en"", ""tr"")"),"DOLU PAKET")</f>
        <v>DOLU PAKET</v>
      </c>
      <c r="I187" s="1" t="s">
        <v>2732</v>
      </c>
    </row>
    <row r="188" spans="1:9" ht="16.5">
      <c r="A188" s="7" t="s">
        <v>884</v>
      </c>
      <c r="B188" s="2" t="s">
        <v>884</v>
      </c>
      <c r="C188" s="8" t="s">
        <v>885</v>
      </c>
      <c r="D188" s="2" t="s">
        <v>886</v>
      </c>
      <c r="E188" s="2" t="s">
        <v>887</v>
      </c>
      <c r="F188" s="9" t="s">
        <v>888</v>
      </c>
      <c r="G188" s="8" t="str">
        <f t="shared" ca="1" si="4"/>
        <v>Netzwerk-Reset</v>
      </c>
      <c r="H188" s="10" t="str">
        <f ca="1">IFERROR(__xludf.DUMMYFUNCTION("GOOGLETRANSLATE(B3,""en"", ""tr"")"),"DOLU PAKET")</f>
        <v>DOLU PAKET</v>
      </c>
      <c r="I188" s="1" t="s">
        <v>2733</v>
      </c>
    </row>
    <row r="189" spans="1:9" ht="16.5">
      <c r="A189" s="7" t="s">
        <v>889</v>
      </c>
      <c r="B189" s="2" t="s">
        <v>889</v>
      </c>
      <c r="C189" s="8" t="s">
        <v>890</v>
      </c>
      <c r="D189" s="2" t="s">
        <v>891</v>
      </c>
      <c r="E189" s="2" t="s">
        <v>892</v>
      </c>
      <c r="F189" s="9" t="s">
        <v>893</v>
      </c>
      <c r="G189" s="8" t="str">
        <f t="shared" ca="1" si="4"/>
        <v>Netzwerk-Reset</v>
      </c>
      <c r="H189" s="10" t="str">
        <f ca="1">IFERROR(__xludf.DUMMYFUNCTION("GOOGLETRANSLATE(B3,""en"", ""tr"")"),"DOLU PAKET")</f>
        <v>DOLU PAKET</v>
      </c>
      <c r="I189" s="1" t="s">
        <v>2734</v>
      </c>
    </row>
    <row r="190" spans="1:9" ht="16.5">
      <c r="A190" s="7" t="s">
        <v>894</v>
      </c>
      <c r="B190" s="2" t="s">
        <v>894</v>
      </c>
      <c r="C190" s="8" t="s">
        <v>895</v>
      </c>
      <c r="D190" s="2" t="s">
        <v>896</v>
      </c>
      <c r="E190" s="2" t="s">
        <v>897</v>
      </c>
      <c r="F190" s="9" t="s">
        <v>898</v>
      </c>
      <c r="G190" s="8" t="str">
        <f t="shared" ca="1" si="4"/>
        <v>Netzwerk-Reset</v>
      </c>
      <c r="H190" s="10" t="str">
        <f ca="1">IFERROR(__xludf.DUMMYFUNCTION("GOOGLETRANSLATE(B3,""en"", ""tr"")"),"DOLU PAKET")</f>
        <v>DOLU PAKET</v>
      </c>
      <c r="I190" s="1" t="s">
        <v>2735</v>
      </c>
    </row>
    <row r="191" spans="1:9" ht="16.5">
      <c r="A191" s="7" t="s">
        <v>899</v>
      </c>
      <c r="B191" s="2" t="s">
        <v>900</v>
      </c>
      <c r="C191" s="8" t="s">
        <v>901</v>
      </c>
      <c r="D191" s="2" t="s">
        <v>902</v>
      </c>
      <c r="E191" s="2" t="s">
        <v>903</v>
      </c>
      <c r="F191" s="9" t="s">
        <v>904</v>
      </c>
      <c r="G191" s="8" t="str">
        <f t="shared" ca="1" si="4"/>
        <v>Netzwerk-Reset</v>
      </c>
      <c r="H191" s="10" t="str">
        <f ca="1">IFERROR(__xludf.DUMMYFUNCTION("GOOGLETRANSLATE(B3,""en"", ""tr"")"),"DOLU PAKET")</f>
        <v>DOLU PAKET</v>
      </c>
      <c r="I191" s="1" t="s">
        <v>2736</v>
      </c>
    </row>
    <row r="192" spans="1:9" ht="16.5">
      <c r="A192" s="7" t="s">
        <v>905</v>
      </c>
      <c r="B192" s="2" t="s">
        <v>906</v>
      </c>
      <c r="C192" s="8" t="s">
        <v>907</v>
      </c>
      <c r="D192" s="2" t="s">
        <v>906</v>
      </c>
      <c r="E192" s="2" t="s">
        <v>908</v>
      </c>
      <c r="F192" s="9" t="s">
        <v>906</v>
      </c>
      <c r="G192" s="8" t="str">
        <f t="shared" ca="1" si="4"/>
        <v>Netzwerk-Reset</v>
      </c>
      <c r="H192" s="10" t="str">
        <f ca="1">IFERROR(__xludf.DUMMYFUNCTION("GOOGLETRANSLATE(B3,""en"", ""tr"")"),"DOLU PAKET")</f>
        <v>DOLU PAKET</v>
      </c>
      <c r="I192" s="1"/>
    </row>
    <row r="193" spans="1:9" ht="16.5">
      <c r="A193" s="7" t="s">
        <v>909</v>
      </c>
      <c r="B193" s="2" t="s">
        <v>910</v>
      </c>
      <c r="C193" s="8" t="s">
        <v>911</v>
      </c>
      <c r="D193" s="9"/>
      <c r="E193" s="2" t="s">
        <v>912</v>
      </c>
      <c r="F193" s="9" t="s">
        <v>913</v>
      </c>
      <c r="G193" s="8" t="str">
        <f t="shared" ca="1" si="4"/>
        <v>Netzwerk-Reset</v>
      </c>
      <c r="H193" s="10" t="str">
        <f ca="1">IFERROR(__xludf.DUMMYFUNCTION("GOOGLETRANSLATE(B3,""en"", ""tr"")"),"DOLU PAKET")</f>
        <v>DOLU PAKET</v>
      </c>
      <c r="I193" s="1" t="s">
        <v>2737</v>
      </c>
    </row>
    <row r="194" spans="1:9" ht="38.25">
      <c r="A194" s="7" t="s">
        <v>914</v>
      </c>
      <c r="B194" s="2" t="s">
        <v>2876</v>
      </c>
      <c r="C194" s="11" t="s">
        <v>915</v>
      </c>
      <c r="D194" s="2" t="s">
        <v>916</v>
      </c>
      <c r="E194" s="2" t="s">
        <v>917</v>
      </c>
      <c r="F194" s="9" t="s">
        <v>918</v>
      </c>
      <c r="G194" s="8" t="str">
        <f t="shared" ca="1" si="4"/>
        <v>Netzwerk-Reset</v>
      </c>
      <c r="H194" s="10" t="str">
        <f ca="1">IFERROR(__xludf.DUMMYFUNCTION("GOOGLETRANSLATE(B3,""en"", ""tr"")"),"DOLU PAKET")</f>
        <v>DOLU PAKET</v>
      </c>
      <c r="I194" s="1" t="s">
        <v>2877</v>
      </c>
    </row>
    <row r="195" spans="1:9" ht="38.25">
      <c r="A195" s="7" t="s">
        <v>919</v>
      </c>
      <c r="B195" s="2" t="s">
        <v>920</v>
      </c>
      <c r="C195" s="8" t="s">
        <v>2647</v>
      </c>
      <c r="D195" s="8" t="str">
        <f ca="1">IFERROR(__xludf.DUMMYFUNCTION("GOOGLETRANSLATE(B195,""en"", ""es"")"),"Aquí es donde proporcionando Orcos alimento para sus tropas.")</f>
        <v>Aquí es donde proporcionando Orcos alimento para sus tropas.</v>
      </c>
      <c r="E195" s="8" t="s">
        <v>921</v>
      </c>
      <c r="F195" s="9" t="s">
        <v>922</v>
      </c>
      <c r="G195" s="8" t="str">
        <f t="shared" ca="1" si="4"/>
        <v>Netzwerk-Reset</v>
      </c>
      <c r="H195" s="10" t="str">
        <f ca="1">IFERROR(__xludf.DUMMYFUNCTION("GOOGLETRANSLATE(B3,""en"", ""tr"")"),"DOLU PAKET")</f>
        <v>DOLU PAKET</v>
      </c>
      <c r="I195" s="1" t="s">
        <v>2878</v>
      </c>
    </row>
    <row r="196" spans="1:9" ht="38.25">
      <c r="A196" s="7" t="s">
        <v>923</v>
      </c>
      <c r="B196" s="2" t="s">
        <v>2879</v>
      </c>
      <c r="C196" s="8" t="s">
        <v>924</v>
      </c>
      <c r="D196" s="2" t="s">
        <v>925</v>
      </c>
      <c r="E196" s="2" t="s">
        <v>926</v>
      </c>
      <c r="F196" s="9" t="s">
        <v>927</v>
      </c>
      <c r="G196" s="8" t="str">
        <f t="shared" ca="1" si="4"/>
        <v>Netzwerk-Reset</v>
      </c>
      <c r="H196" s="10" t="str">
        <f ca="1">IFERROR(__xludf.DUMMYFUNCTION("GOOGLETRANSLATE(B3,""en"", ""tr"")"),"DOLU PAKET")</f>
        <v>DOLU PAKET</v>
      </c>
      <c r="I196" s="1" t="s">
        <v>2880</v>
      </c>
    </row>
    <row r="197" spans="1:9" ht="49.5">
      <c r="A197" s="7" t="s">
        <v>928</v>
      </c>
      <c r="B197" s="2" t="s">
        <v>929</v>
      </c>
      <c r="C197" s="8" t="s">
        <v>930</v>
      </c>
      <c r="D197" s="2" t="s">
        <v>931</v>
      </c>
      <c r="E197" s="2" t="s">
        <v>932</v>
      </c>
      <c r="F197" s="9" t="s">
        <v>933</v>
      </c>
      <c r="G197" s="8" t="str">
        <f t="shared" ca="1" si="4"/>
        <v>Netzwerk-Reset</v>
      </c>
      <c r="H197" s="10" t="str">
        <f ca="1">IFERROR(__xludf.DUMMYFUNCTION("GOOGLETRANSLATE(B3,""en"", ""tr"")"),"DOLU PAKET")</f>
        <v>DOLU PAKET</v>
      </c>
      <c r="I197" s="1" t="s">
        <v>2881</v>
      </c>
    </row>
    <row r="198" spans="1:9" ht="25.5">
      <c r="A198" s="7" t="s">
        <v>934</v>
      </c>
      <c r="B198" s="2" t="s">
        <v>935</v>
      </c>
      <c r="C198" s="8" t="s">
        <v>2648</v>
      </c>
      <c r="D198" s="8" t="str">
        <f ca="1">IFERROR(__xludf.DUMMYFUNCTION("GOOGLETRANSLATE(B198,""en"", ""es"")"),"Los soldados pueden ser actualizados en este edificio.")</f>
        <v>Los soldados pueden ser actualizados en este edificio.</v>
      </c>
      <c r="E198" s="8" t="s">
        <v>936</v>
      </c>
      <c r="F198" s="9" t="s">
        <v>937</v>
      </c>
      <c r="G198" s="8" t="str">
        <f t="shared" ca="1" si="4"/>
        <v>Netzwerk-Reset</v>
      </c>
      <c r="H198" s="10" t="str">
        <f ca="1">IFERROR(__xludf.DUMMYFUNCTION("GOOGLETRANSLATE(B3,""en"", ""tr"")"),"DOLU PAKET")</f>
        <v>DOLU PAKET</v>
      </c>
      <c r="I198" s="1" t="s">
        <v>2882</v>
      </c>
    </row>
    <row r="199" spans="1:9" ht="38.25">
      <c r="A199" s="7" t="s">
        <v>938</v>
      </c>
      <c r="B199" s="2" t="s">
        <v>939</v>
      </c>
      <c r="C199" s="8" t="s">
        <v>940</v>
      </c>
      <c r="D199" s="2" t="s">
        <v>941</v>
      </c>
      <c r="E199" s="2" t="s">
        <v>942</v>
      </c>
      <c r="F199" s="9" t="s">
        <v>943</v>
      </c>
      <c r="G199" s="8" t="str">
        <f t="shared" ca="1" si="4"/>
        <v>Netzwerk-Reset</v>
      </c>
      <c r="H199" s="10" t="str">
        <f ca="1">IFERROR(__xludf.DUMMYFUNCTION("GOOGLETRANSLATE(B3,""en"", ""tr"")"),"DOLU PAKET")</f>
        <v>DOLU PAKET</v>
      </c>
      <c r="I199" s="1" t="s">
        <v>2883</v>
      </c>
    </row>
    <row r="200" spans="1:9" ht="51">
      <c r="A200" s="7" t="s">
        <v>944</v>
      </c>
      <c r="B200" s="2" t="s">
        <v>945</v>
      </c>
      <c r="C200" s="8" t="s">
        <v>946</v>
      </c>
      <c r="D200" s="2" t="s">
        <v>947</v>
      </c>
      <c r="E200" s="2" t="s">
        <v>948</v>
      </c>
      <c r="F200" s="9" t="s">
        <v>949</v>
      </c>
      <c r="G200" s="8" t="str">
        <f t="shared" ca="1" si="4"/>
        <v>Netzwerk-Reset</v>
      </c>
      <c r="H200" s="10" t="str">
        <f ca="1">IFERROR(__xludf.DUMMYFUNCTION("GOOGLETRANSLATE(B3,""en"", ""tr"")"),"DOLU PAKET")</f>
        <v>DOLU PAKET</v>
      </c>
      <c r="I200" s="1" t="s">
        <v>2886</v>
      </c>
    </row>
    <row r="201" spans="1:9" ht="76.5">
      <c r="A201" s="7" t="s">
        <v>950</v>
      </c>
      <c r="B201" s="2" t="s">
        <v>951</v>
      </c>
      <c r="C201" s="8" t="s">
        <v>952</v>
      </c>
      <c r="D201" s="2" t="s">
        <v>953</v>
      </c>
      <c r="E201" s="2" t="s">
        <v>954</v>
      </c>
      <c r="F201" s="9" t="s">
        <v>955</v>
      </c>
      <c r="G201" s="8" t="str">
        <f t="shared" ca="1" si="4"/>
        <v>Netzwerk-Reset</v>
      </c>
      <c r="H201" s="10" t="str">
        <f ca="1">IFERROR(__xludf.DUMMYFUNCTION("GOOGLETRANSLATE(B3,""en"", ""tr"")"),"DOLU PAKET")</f>
        <v>DOLU PAKET</v>
      </c>
      <c r="I201" s="1" t="s">
        <v>2885</v>
      </c>
    </row>
    <row r="202" spans="1:9" ht="25.5">
      <c r="A202" s="7" t="s">
        <v>956</v>
      </c>
      <c r="B202" s="2" t="s">
        <v>957</v>
      </c>
      <c r="C202" s="20" t="s">
        <v>958</v>
      </c>
      <c r="D202" s="2" t="s">
        <v>959</v>
      </c>
      <c r="E202" s="2" t="s">
        <v>960</v>
      </c>
      <c r="F202" s="9" t="s">
        <v>961</v>
      </c>
      <c r="G202" s="8" t="str">
        <f t="shared" ca="1" si="4"/>
        <v>Netzwerk-Reset</v>
      </c>
      <c r="H202" s="10" t="str">
        <f ca="1">IFERROR(__xludf.DUMMYFUNCTION("GOOGLETRANSLATE(B3,""en"", ""tr"")"),"DOLU PAKET")</f>
        <v>DOLU PAKET</v>
      </c>
      <c r="I202" s="1" t="s">
        <v>2884</v>
      </c>
    </row>
    <row r="203" spans="1:9" ht="33">
      <c r="A203" s="7" t="s">
        <v>962</v>
      </c>
      <c r="B203" s="2" t="s">
        <v>963</v>
      </c>
      <c r="C203" s="8" t="s">
        <v>964</v>
      </c>
      <c r="D203" s="2" t="s">
        <v>965</v>
      </c>
      <c r="E203" s="2" t="s">
        <v>966</v>
      </c>
      <c r="F203" s="9" t="s">
        <v>967</v>
      </c>
      <c r="G203" s="8" t="str">
        <f t="shared" ca="1" si="4"/>
        <v>Netzwerk-Reset</v>
      </c>
      <c r="H203" s="10" t="str">
        <f ca="1">IFERROR(__xludf.DUMMYFUNCTION("GOOGLETRANSLATE(B3,""en"", ""tr"")"),"DOLU PAKET")</f>
        <v>DOLU PAKET</v>
      </c>
      <c r="I203" s="1" t="s">
        <v>2887</v>
      </c>
    </row>
    <row r="204" spans="1:9" ht="51">
      <c r="A204" s="7" t="s">
        <v>968</v>
      </c>
      <c r="B204" s="2" t="s">
        <v>969</v>
      </c>
      <c r="C204" s="8" t="s">
        <v>970</v>
      </c>
      <c r="D204" s="2" t="s">
        <v>971</v>
      </c>
      <c r="E204" s="2" t="s">
        <v>972</v>
      </c>
      <c r="F204" s="9" t="s">
        <v>973</v>
      </c>
      <c r="G204" s="8" t="str">
        <f t="shared" ca="1" si="4"/>
        <v>Netzwerk-Reset</v>
      </c>
      <c r="H204" s="10" t="str">
        <f ca="1">IFERROR(__xludf.DUMMYFUNCTION("GOOGLETRANSLATE(B3,""en"", ""tr"")"),"DOLU PAKET")</f>
        <v>DOLU PAKET</v>
      </c>
      <c r="I204" s="1" t="s">
        <v>2888</v>
      </c>
    </row>
    <row r="205" spans="1:9" ht="25.5">
      <c r="A205" s="7" t="s">
        <v>974</v>
      </c>
      <c r="B205" s="2" t="s">
        <v>975</v>
      </c>
      <c r="C205" s="8" t="s">
        <v>976</v>
      </c>
      <c r="D205" s="2" t="s">
        <v>977</v>
      </c>
      <c r="E205" s="2" t="s">
        <v>978</v>
      </c>
      <c r="F205" s="9" t="s">
        <v>979</v>
      </c>
      <c r="G205" s="8" t="str">
        <f t="shared" ca="1" si="4"/>
        <v>Netzwerk-Reset</v>
      </c>
      <c r="H205" s="10" t="str">
        <f ca="1">IFERROR(__xludf.DUMMYFUNCTION("GOOGLETRANSLATE(B3,""en"", ""tr"")"),"DOLU PAKET")</f>
        <v>DOLU PAKET</v>
      </c>
      <c r="I205" s="1" t="s">
        <v>2889</v>
      </c>
    </row>
    <row r="206" spans="1:9" ht="25.5">
      <c r="A206" s="7" t="s">
        <v>980</v>
      </c>
      <c r="B206" s="2" t="s">
        <v>981</v>
      </c>
      <c r="C206" s="8" t="s">
        <v>982</v>
      </c>
      <c r="D206" s="2" t="s">
        <v>983</v>
      </c>
      <c r="E206" s="2" t="s">
        <v>984</v>
      </c>
      <c r="F206" s="9" t="s">
        <v>985</v>
      </c>
      <c r="G206" s="8" t="str">
        <f t="shared" ca="1" si="4"/>
        <v>Netzwerk-Reset</v>
      </c>
      <c r="H206" s="10" t="str">
        <f ca="1">IFERROR(__xludf.DUMMYFUNCTION("GOOGLETRANSLATE(B3,""en"", ""tr"")"),"DOLU PAKET")</f>
        <v>DOLU PAKET</v>
      </c>
      <c r="I206" s="1" t="s">
        <v>2890</v>
      </c>
    </row>
    <row r="207" spans="1:9" ht="25.5">
      <c r="A207" s="7" t="s">
        <v>986</v>
      </c>
      <c r="B207" s="2" t="s">
        <v>987</v>
      </c>
      <c r="C207" s="8" t="s">
        <v>988</v>
      </c>
      <c r="D207" s="2" t="s">
        <v>987</v>
      </c>
      <c r="E207" s="2" t="s">
        <v>989</v>
      </c>
      <c r="F207" s="9" t="s">
        <v>990</v>
      </c>
      <c r="G207" s="8" t="str">
        <f t="shared" ca="1" si="4"/>
        <v>Netzwerk-Reset</v>
      </c>
      <c r="H207" s="10" t="str">
        <f ca="1">IFERROR(__xludf.DUMMYFUNCTION("GOOGLETRANSLATE(B3,""en"", ""tr"")"),"DOLU PAKET")</f>
        <v>DOLU PAKET</v>
      </c>
      <c r="I207" s="1" t="s">
        <v>2891</v>
      </c>
    </row>
    <row r="208" spans="1:9" ht="51">
      <c r="A208" s="7" t="s">
        <v>991</v>
      </c>
      <c r="B208" s="2" t="s">
        <v>992</v>
      </c>
      <c r="C208" s="8" t="s">
        <v>993</v>
      </c>
      <c r="D208" s="2" t="s">
        <v>994</v>
      </c>
      <c r="E208" s="2" t="s">
        <v>995</v>
      </c>
      <c r="F208" s="9" t="s">
        <v>996</v>
      </c>
      <c r="G208" s="8" t="str">
        <f t="shared" ca="1" si="4"/>
        <v>Netzwerk-Reset</v>
      </c>
      <c r="H208" s="10" t="str">
        <f ca="1">IFERROR(__xludf.DUMMYFUNCTION("GOOGLETRANSLATE(B3,""en"", ""tr"")"),"DOLU PAKET")</f>
        <v>DOLU PAKET</v>
      </c>
      <c r="I208" s="1" t="s">
        <v>2892</v>
      </c>
    </row>
    <row r="209" spans="1:9" ht="25.5">
      <c r="A209" s="7" t="s">
        <v>997</v>
      </c>
      <c r="B209" s="2" t="s">
        <v>998</v>
      </c>
      <c r="C209" s="8" t="s">
        <v>999</v>
      </c>
      <c r="D209" s="2" t="s">
        <v>1000</v>
      </c>
      <c r="E209" s="2" t="s">
        <v>1001</v>
      </c>
      <c r="F209" s="9" t="s">
        <v>1002</v>
      </c>
      <c r="G209" s="8" t="str">
        <f t="shared" ca="1" si="4"/>
        <v>Netzwerk-Reset</v>
      </c>
      <c r="H209" s="10" t="str">
        <f ca="1">IFERROR(__xludf.DUMMYFUNCTION("GOOGLETRANSLATE(B3,""en"", ""tr"")"),"DOLU PAKET")</f>
        <v>DOLU PAKET</v>
      </c>
      <c r="I209" s="1" t="s">
        <v>2893</v>
      </c>
    </row>
    <row r="210" spans="1:9" ht="25.5">
      <c r="A210" s="7" t="s">
        <v>1003</v>
      </c>
      <c r="B210" s="2" t="s">
        <v>1004</v>
      </c>
      <c r="C210" s="8" t="s">
        <v>1005</v>
      </c>
      <c r="D210" s="2" t="s">
        <v>1006</v>
      </c>
      <c r="E210" s="2" t="s">
        <v>1007</v>
      </c>
      <c r="F210" s="9" t="s">
        <v>1008</v>
      </c>
      <c r="G210" s="8" t="str">
        <f t="shared" ca="1" si="4"/>
        <v>Netzwerk-Reset</v>
      </c>
      <c r="H210" s="10" t="str">
        <f ca="1">IFERROR(__xludf.DUMMYFUNCTION("GOOGLETRANSLATE(B3,""en"", ""tr"")"),"DOLU PAKET")</f>
        <v>DOLU PAKET</v>
      </c>
      <c r="I210" s="1" t="s">
        <v>2894</v>
      </c>
    </row>
    <row r="211" spans="1:9" ht="25.5">
      <c r="A211" s="7" t="s">
        <v>1009</v>
      </c>
      <c r="B211" s="2" t="s">
        <v>1010</v>
      </c>
      <c r="C211" s="8" t="s">
        <v>1011</v>
      </c>
      <c r="D211" s="2" t="s">
        <v>1012</v>
      </c>
      <c r="E211" s="2" t="s">
        <v>1013</v>
      </c>
      <c r="F211" s="9" t="s">
        <v>1014</v>
      </c>
      <c r="G211" s="8" t="str">
        <f t="shared" ca="1" si="4"/>
        <v>Netzwerk-Reset</v>
      </c>
      <c r="H211" s="10" t="str">
        <f ca="1">IFERROR(__xludf.DUMMYFUNCTION("GOOGLETRANSLATE(B3,""en"", ""tr"")"),"DOLU PAKET")</f>
        <v>DOLU PAKET</v>
      </c>
      <c r="I211" s="1" t="s">
        <v>2895</v>
      </c>
    </row>
    <row r="212" spans="1:9" ht="38.25">
      <c r="A212" s="7" t="s">
        <v>1015</v>
      </c>
      <c r="B212" s="2" t="s">
        <v>1016</v>
      </c>
      <c r="C212" s="8" t="s">
        <v>2649</v>
      </c>
      <c r="D212" s="8" t="str">
        <f ca="1">IFERROR(__xludf.DUMMYFUNCTION("GOOGLETRANSLATE(B212,""en"", ""es"")"),"Los arqueros pueden atacar a los enemigos que están en larga distancia.")</f>
        <v>Los arqueros pueden atacar a los enemigos que están en larga distancia.</v>
      </c>
      <c r="E212" s="11" t="s">
        <v>1017</v>
      </c>
      <c r="F212" s="9" t="s">
        <v>1018</v>
      </c>
      <c r="G212" s="8" t="str">
        <f t="shared" ca="1" si="4"/>
        <v>Netzwerk-Reset</v>
      </c>
      <c r="H212" s="10" t="str">
        <f ca="1">IFERROR(__xludf.DUMMYFUNCTION("GOOGLETRANSLATE(B3,""en"", ""tr"")"),"DOLU PAKET")</f>
        <v>DOLU PAKET</v>
      </c>
      <c r="I212" s="1" t="s">
        <v>2896</v>
      </c>
    </row>
    <row r="213" spans="1:9" ht="25.5">
      <c r="A213" s="7" t="s">
        <v>1019</v>
      </c>
      <c r="B213" s="2" t="s">
        <v>1020</v>
      </c>
      <c r="C213" s="8" t="s">
        <v>1021</v>
      </c>
      <c r="D213" s="2" t="s">
        <v>1022</v>
      </c>
      <c r="E213" s="2" t="s">
        <v>1023</v>
      </c>
      <c r="F213" s="9" t="s">
        <v>1024</v>
      </c>
      <c r="G213" s="8" t="str">
        <f t="shared" ca="1" si="4"/>
        <v>Netzwerk-Reset</v>
      </c>
      <c r="H213" s="10" t="str">
        <f ca="1">IFERROR(__xludf.DUMMYFUNCTION("GOOGLETRANSLATE(B3,""en"", ""tr"")"),"DOLU PAKET")</f>
        <v>DOLU PAKET</v>
      </c>
      <c r="I213" s="1" t="s">
        <v>2897</v>
      </c>
    </row>
    <row r="214" spans="1:9" ht="43.15" customHeight="1">
      <c r="A214" s="7" t="s">
        <v>1025</v>
      </c>
      <c r="B214" s="2" t="s">
        <v>1026</v>
      </c>
      <c r="C214" s="20" t="s">
        <v>1027</v>
      </c>
      <c r="D214" s="8" t="str">
        <f ca="1">IFERROR(__xludf.DUMMYFUNCTION("GOOGLETRANSLATE(B214,""en"", ""es"")"),"Los helicópteros pueden volar y atacar con grava.")</f>
        <v>Los helicópteros pueden volar y atacar con grava.</v>
      </c>
      <c r="E214" s="11" t="s">
        <v>1028</v>
      </c>
      <c r="F214" s="9" t="s">
        <v>1029</v>
      </c>
      <c r="G214" s="8" t="str">
        <f t="shared" ca="1" si="4"/>
        <v>Netzwerk-Reset</v>
      </c>
      <c r="H214" s="10" t="str">
        <f ca="1">IFERROR(__xludf.DUMMYFUNCTION("GOOGLETRANSLATE(B3,""en"", ""tr"")"),"DOLU PAKET")</f>
        <v>DOLU PAKET</v>
      </c>
      <c r="I214" s="1" t="s">
        <v>2898</v>
      </c>
    </row>
    <row r="215" spans="1:9" ht="63.75">
      <c r="A215" s="7" t="s">
        <v>1030</v>
      </c>
      <c r="B215" s="2" t="s">
        <v>1031</v>
      </c>
      <c r="C215" s="21" t="s">
        <v>1032</v>
      </c>
      <c r="D215" s="2" t="s">
        <v>1033</v>
      </c>
      <c r="E215" s="2" t="s">
        <v>1034</v>
      </c>
      <c r="F215" s="9" t="s">
        <v>1035</v>
      </c>
      <c r="G215" s="8" t="str">
        <f t="shared" ca="1" si="4"/>
        <v>Netzwerk-Reset</v>
      </c>
      <c r="H215" s="10" t="str">
        <f ca="1">IFERROR(__xludf.DUMMYFUNCTION("GOOGLETRANSLATE(B3,""en"", ""tr"")"),"DOLU PAKET")</f>
        <v>DOLU PAKET</v>
      </c>
      <c r="I215" s="1" t="s">
        <v>2899</v>
      </c>
    </row>
    <row r="216" spans="1:9" ht="33">
      <c r="A216" s="7" t="s">
        <v>1036</v>
      </c>
      <c r="B216" s="2" t="s">
        <v>1037</v>
      </c>
      <c r="C216" s="22" t="s">
        <v>2650</v>
      </c>
      <c r="D216" s="19" t="str">
        <f t="shared" ref="D216:D225" ca="1" si="11">IFERROR(__xludf.DUMMYFUNCTION("GOOGLETRANSLATE(B216,""en"", ""es"")"),"Goblin recoge el oro y la madera para Orcos.")</f>
        <v>Goblin recoge el oro y la madera para Orcos.</v>
      </c>
      <c r="E216" s="23" t="s">
        <v>1038</v>
      </c>
      <c r="F216" s="9" t="s">
        <v>1039</v>
      </c>
      <c r="G216" s="8" t="str">
        <f t="shared" ca="1" si="4"/>
        <v>Netzwerk-Reset</v>
      </c>
      <c r="H216" s="10" t="str">
        <f ca="1">IFERROR(__xludf.DUMMYFUNCTION("GOOGLETRANSLATE(B3,""en"", ""tr"")"),"DOLU PAKET")</f>
        <v>DOLU PAKET</v>
      </c>
      <c r="I216" s="1" t="s">
        <v>2900</v>
      </c>
    </row>
    <row r="217" spans="1:9" ht="25.5">
      <c r="A217" s="7" t="s">
        <v>1040</v>
      </c>
      <c r="B217" s="2" t="s">
        <v>1041</v>
      </c>
      <c r="C217" s="8" t="s">
        <v>2651</v>
      </c>
      <c r="D217" s="8" t="str">
        <f t="shared" ca="1" si="11"/>
        <v>Goblin recoge el oro y la madera para Orcos.</v>
      </c>
      <c r="E217" s="8" t="s">
        <v>1042</v>
      </c>
      <c r="F217" s="9" t="s">
        <v>1043</v>
      </c>
      <c r="G217" s="8" t="str">
        <f t="shared" ca="1" si="4"/>
        <v>Netzwerk-Reset</v>
      </c>
      <c r="H217" s="10" t="str">
        <f ca="1">IFERROR(__xludf.DUMMYFUNCTION("GOOGLETRANSLATE(B3,""en"", ""tr"")"),"DOLU PAKET")</f>
        <v>DOLU PAKET</v>
      </c>
      <c r="I217" s="1" t="s">
        <v>2901</v>
      </c>
    </row>
    <row r="218" spans="1:9" ht="33">
      <c r="A218" s="7" t="s">
        <v>1044</v>
      </c>
      <c r="B218" s="2" t="s">
        <v>1045</v>
      </c>
      <c r="C218" s="11" t="s">
        <v>1046</v>
      </c>
      <c r="D218" s="8" t="str">
        <f t="shared" ca="1" si="11"/>
        <v>Goblin recoge el oro y la madera para Orcos.</v>
      </c>
      <c r="E218" s="8" t="s">
        <v>1047</v>
      </c>
      <c r="F218" s="9" t="s">
        <v>1048</v>
      </c>
      <c r="G218" s="8" t="str">
        <f t="shared" ca="1" si="4"/>
        <v>Netzwerk-Reset</v>
      </c>
      <c r="H218" s="10" t="str">
        <f ca="1">IFERROR(__xludf.DUMMYFUNCTION("GOOGLETRANSLATE(B3,""en"", ""tr"")"),"DOLU PAKET")</f>
        <v>DOLU PAKET</v>
      </c>
      <c r="I218" s="1" t="s">
        <v>2902</v>
      </c>
    </row>
    <row r="219" spans="1:9" ht="25.5">
      <c r="A219" s="7" t="s">
        <v>1049</v>
      </c>
      <c r="B219" s="2" t="s">
        <v>1050</v>
      </c>
      <c r="C219" s="8" t="s">
        <v>2652</v>
      </c>
      <c r="D219" s="8" t="str">
        <f t="shared" ca="1" si="11"/>
        <v>Goblin recoge el oro y la madera para Orcos.</v>
      </c>
      <c r="E219" s="8" t="s">
        <v>1051</v>
      </c>
      <c r="F219" s="9" t="s">
        <v>1052</v>
      </c>
      <c r="G219" s="8" t="str">
        <f t="shared" ca="1" si="4"/>
        <v>Netzwerk-Reset</v>
      </c>
      <c r="H219" s="10" t="str">
        <f ca="1">IFERROR(__xludf.DUMMYFUNCTION("GOOGLETRANSLATE(B3,""en"", ""tr"")"),"DOLU PAKET")</f>
        <v>DOLU PAKET</v>
      </c>
      <c r="I219" s="1" t="s">
        <v>2903</v>
      </c>
    </row>
    <row r="220" spans="1:9" ht="25.5">
      <c r="A220" s="7" t="s">
        <v>1053</v>
      </c>
      <c r="B220" s="2" t="s">
        <v>1054</v>
      </c>
      <c r="C220" s="8" t="s">
        <v>2653</v>
      </c>
      <c r="D220" s="8" t="str">
        <f t="shared" ca="1" si="11"/>
        <v>Goblin recoge el oro y la madera para Orcos.</v>
      </c>
      <c r="E220" s="8" t="s">
        <v>1055</v>
      </c>
      <c r="F220" s="9" t="s">
        <v>1056</v>
      </c>
      <c r="G220" s="8" t="str">
        <f t="shared" ca="1" si="4"/>
        <v>Netzwerk-Reset</v>
      </c>
      <c r="H220" s="10" t="str">
        <f ca="1">IFERROR(__xludf.DUMMYFUNCTION("GOOGLETRANSLATE(B3,""en"", ""tr"")"),"DOLU PAKET")</f>
        <v>DOLU PAKET</v>
      </c>
      <c r="I220" s="1" t="s">
        <v>2904</v>
      </c>
    </row>
    <row r="221" spans="1:9" ht="25.5">
      <c r="A221" s="7" t="s">
        <v>1057</v>
      </c>
      <c r="B221" s="2" t="s">
        <v>1058</v>
      </c>
      <c r="C221" s="8" t="s">
        <v>2654</v>
      </c>
      <c r="D221" s="8" t="str">
        <f t="shared" ca="1" si="11"/>
        <v>Goblin recoge el oro y la madera para Orcos.</v>
      </c>
      <c r="E221" s="8" t="s">
        <v>1059</v>
      </c>
      <c r="F221" s="9" t="s">
        <v>1060</v>
      </c>
      <c r="G221" s="8" t="str">
        <f t="shared" ca="1" si="4"/>
        <v>Netzwerk-Reset</v>
      </c>
      <c r="H221" s="10" t="str">
        <f ca="1">IFERROR(__xludf.DUMMYFUNCTION("GOOGLETRANSLATE(B3,""en"", ""tr"")"),"DOLU PAKET")</f>
        <v>DOLU PAKET</v>
      </c>
      <c r="I221" s="1" t="s">
        <v>2905</v>
      </c>
    </row>
    <row r="222" spans="1:9" ht="25.5">
      <c r="A222" s="7" t="s">
        <v>1061</v>
      </c>
      <c r="B222" s="2" t="s">
        <v>1062</v>
      </c>
      <c r="C222" s="8" t="s">
        <v>2655</v>
      </c>
      <c r="D222" s="8" t="str">
        <f t="shared" ca="1" si="11"/>
        <v>Goblin recoge el oro y la madera para Orcos.</v>
      </c>
      <c r="E222" s="11" t="s">
        <v>1063</v>
      </c>
      <c r="F222" s="9" t="s">
        <v>1064</v>
      </c>
      <c r="G222" s="8" t="str">
        <f t="shared" ca="1" si="4"/>
        <v>Netzwerk-Reset</v>
      </c>
      <c r="H222" s="10" t="str">
        <f ca="1">IFERROR(__xludf.DUMMYFUNCTION("GOOGLETRANSLATE(B3,""en"", ""tr"")"),"DOLU PAKET")</f>
        <v>DOLU PAKET</v>
      </c>
      <c r="I222" s="1" t="s">
        <v>2906</v>
      </c>
    </row>
    <row r="223" spans="1:9" ht="25.5">
      <c r="A223" s="7" t="s">
        <v>1065</v>
      </c>
      <c r="B223" s="2" t="s">
        <v>1066</v>
      </c>
      <c r="C223" s="8" t="s">
        <v>2656</v>
      </c>
      <c r="D223" s="8" t="str">
        <f t="shared" ca="1" si="11"/>
        <v>Goblin recoge el oro y la madera para Orcos.</v>
      </c>
      <c r="E223" s="11" t="s">
        <v>1067</v>
      </c>
      <c r="F223" s="9" t="s">
        <v>1068</v>
      </c>
      <c r="G223" s="8" t="str">
        <f t="shared" ca="1" si="4"/>
        <v>Netzwerk-Reset</v>
      </c>
      <c r="H223" s="10" t="str">
        <f ca="1">IFERROR(__xludf.DUMMYFUNCTION("GOOGLETRANSLATE(B3,""en"", ""tr"")"),"DOLU PAKET")</f>
        <v>DOLU PAKET</v>
      </c>
      <c r="I223" s="1" t="s">
        <v>2907</v>
      </c>
    </row>
    <row r="224" spans="1:9" ht="25.5">
      <c r="A224" s="7" t="s">
        <v>1069</v>
      </c>
      <c r="B224" s="2" t="s">
        <v>1070</v>
      </c>
      <c r="C224" s="8" t="s">
        <v>2657</v>
      </c>
      <c r="D224" s="8" t="str">
        <f t="shared" ca="1" si="11"/>
        <v>Goblin recoge el oro y la madera para Orcos.</v>
      </c>
      <c r="E224" s="11" t="s">
        <v>1071</v>
      </c>
      <c r="F224" s="9" t="s">
        <v>1072</v>
      </c>
      <c r="G224" s="8" t="str">
        <f t="shared" ca="1" si="4"/>
        <v>Netzwerk-Reset</v>
      </c>
      <c r="H224" s="10" t="str">
        <f ca="1">IFERROR(__xludf.DUMMYFUNCTION("GOOGLETRANSLATE(B3,""en"", ""tr"")"),"DOLU PAKET")</f>
        <v>DOLU PAKET</v>
      </c>
      <c r="I224" s="1" t="s">
        <v>2908</v>
      </c>
    </row>
    <row r="225" spans="1:9" ht="25.5">
      <c r="A225" s="7" t="s">
        <v>1073</v>
      </c>
      <c r="B225" s="2" t="s">
        <v>1074</v>
      </c>
      <c r="C225" s="8" t="s">
        <v>2658</v>
      </c>
      <c r="D225" s="8" t="str">
        <f t="shared" ca="1" si="11"/>
        <v>Goblin recoge el oro y la madera para Orcos.</v>
      </c>
      <c r="E225" s="11" t="s">
        <v>1075</v>
      </c>
      <c r="F225" s="9" t="s">
        <v>1076</v>
      </c>
      <c r="G225" s="8" t="str">
        <f t="shared" ca="1" si="4"/>
        <v>Netzwerk-Reset</v>
      </c>
      <c r="H225" s="10" t="str">
        <f ca="1">IFERROR(__xludf.DUMMYFUNCTION("GOOGLETRANSLATE(B3,""en"", ""tr"")"),"DOLU PAKET")</f>
        <v>DOLU PAKET</v>
      </c>
      <c r="I225" s="1" t="s">
        <v>2909</v>
      </c>
    </row>
    <row r="226" spans="1:9" ht="25.5">
      <c r="A226" s="7" t="s">
        <v>1077</v>
      </c>
      <c r="B226" s="2" t="s">
        <v>1078</v>
      </c>
      <c r="C226" s="8" t="s">
        <v>1079</v>
      </c>
      <c r="D226" s="2" t="s">
        <v>1080</v>
      </c>
      <c r="E226" s="2" t="s">
        <v>1081</v>
      </c>
      <c r="F226" s="9" t="s">
        <v>1082</v>
      </c>
      <c r="G226" s="8" t="str">
        <f t="shared" ca="1" si="4"/>
        <v>Netzwerk-Reset</v>
      </c>
      <c r="H226" s="10" t="str">
        <f ca="1">IFERROR(__xludf.DUMMYFUNCTION("GOOGLETRANSLATE(B3,""en"", ""tr"")"),"DOLU PAKET")</f>
        <v>DOLU PAKET</v>
      </c>
      <c r="I226" s="1" t="s">
        <v>2910</v>
      </c>
    </row>
    <row r="227" spans="1:9" ht="63.75">
      <c r="A227" s="7" t="s">
        <v>1083</v>
      </c>
      <c r="B227" s="2" t="s">
        <v>1084</v>
      </c>
      <c r="C227" s="8" t="s">
        <v>1085</v>
      </c>
      <c r="D227" s="2" t="s">
        <v>1086</v>
      </c>
      <c r="E227" s="2" t="s">
        <v>1087</v>
      </c>
      <c r="F227" s="9" t="s">
        <v>1088</v>
      </c>
      <c r="G227" s="8" t="str">
        <f t="shared" ca="1" si="4"/>
        <v>Netzwerk-Reset</v>
      </c>
      <c r="H227" s="10" t="str">
        <f ca="1">IFERROR(__xludf.DUMMYFUNCTION("GOOGLETRANSLATE(B3,""en"", ""tr"")"),"DOLU PAKET")</f>
        <v>DOLU PAKET</v>
      </c>
      <c r="I227" s="1" t="s">
        <v>2911</v>
      </c>
    </row>
    <row r="228" spans="1:9" ht="51">
      <c r="A228" s="7" t="s">
        <v>1089</v>
      </c>
      <c r="B228" s="2" t="s">
        <v>1090</v>
      </c>
      <c r="C228" s="8" t="s">
        <v>1091</v>
      </c>
      <c r="D228" s="2" t="s">
        <v>1092</v>
      </c>
      <c r="E228" s="2" t="s">
        <v>1093</v>
      </c>
      <c r="F228" s="9" t="s">
        <v>1094</v>
      </c>
      <c r="G228" s="8" t="str">
        <f t="shared" ca="1" si="4"/>
        <v>Netzwerk-Reset</v>
      </c>
      <c r="H228" s="10" t="str">
        <f ca="1">IFERROR(__xludf.DUMMYFUNCTION("GOOGLETRANSLATE(B3,""en"", ""tr"")"),"DOLU PAKET")</f>
        <v>DOLU PAKET</v>
      </c>
      <c r="I228" s="24"/>
    </row>
    <row r="229" spans="1:9" ht="51">
      <c r="A229" s="7" t="s">
        <v>1095</v>
      </c>
      <c r="B229" s="2" t="s">
        <v>1096</v>
      </c>
      <c r="C229" s="12" t="s">
        <v>2912</v>
      </c>
      <c r="D229" s="2" t="s">
        <v>1097</v>
      </c>
      <c r="E229" s="2" t="s">
        <v>1098</v>
      </c>
      <c r="F229" s="9" t="s">
        <v>1099</v>
      </c>
      <c r="G229" s="8" t="str">
        <f t="shared" ca="1" si="4"/>
        <v>Netzwerk-Reset</v>
      </c>
      <c r="H229" s="10" t="str">
        <f ca="1">IFERROR(__xludf.DUMMYFUNCTION("GOOGLETRANSLATE(B3,""en"", ""tr"")"),"DOLU PAKET")</f>
        <v>DOLU PAKET</v>
      </c>
      <c r="I229" s="1" t="s">
        <v>2913</v>
      </c>
    </row>
    <row r="230" spans="1:9" ht="51">
      <c r="A230" s="7" t="s">
        <v>1100</v>
      </c>
      <c r="B230" s="2" t="s">
        <v>1101</v>
      </c>
      <c r="C230" s="11" t="s">
        <v>1102</v>
      </c>
      <c r="D230" s="2" t="s">
        <v>1103</v>
      </c>
      <c r="E230" s="2" t="s">
        <v>1104</v>
      </c>
      <c r="F230" s="9" t="s">
        <v>1105</v>
      </c>
      <c r="G230" s="8" t="str">
        <f t="shared" ca="1" si="4"/>
        <v>Netzwerk-Reset</v>
      </c>
      <c r="H230" s="10" t="str">
        <f ca="1">IFERROR(__xludf.DUMMYFUNCTION("GOOGLETRANSLATE(B3,""en"", ""tr"")"),"DOLU PAKET")</f>
        <v>DOLU PAKET</v>
      </c>
      <c r="I230" s="1" t="s">
        <v>2914</v>
      </c>
    </row>
    <row r="231" spans="1:9" ht="51">
      <c r="A231" s="7" t="s">
        <v>1106</v>
      </c>
      <c r="B231" s="2" t="s">
        <v>1107</v>
      </c>
      <c r="C231" s="11" t="s">
        <v>1108</v>
      </c>
      <c r="D231" s="2" t="s">
        <v>1109</v>
      </c>
      <c r="E231" s="2" t="s">
        <v>1110</v>
      </c>
      <c r="F231" s="9" t="s">
        <v>1111</v>
      </c>
      <c r="G231" s="8" t="str">
        <f t="shared" ca="1" si="4"/>
        <v>Netzwerk-Reset</v>
      </c>
      <c r="H231" s="10" t="str">
        <f ca="1">IFERROR(__xludf.DUMMYFUNCTION("GOOGLETRANSLATE(B3,""en"", ""tr"")"),"DOLU PAKET")</f>
        <v>DOLU PAKET</v>
      </c>
      <c r="I231" s="1" t="s">
        <v>2915</v>
      </c>
    </row>
    <row r="232" spans="1:9" ht="63.75">
      <c r="A232" s="7" t="s">
        <v>1112</v>
      </c>
      <c r="B232" s="2" t="s">
        <v>1113</v>
      </c>
      <c r="C232" s="11" t="s">
        <v>1114</v>
      </c>
      <c r="D232" s="2" t="s">
        <v>1115</v>
      </c>
      <c r="E232" s="2" t="s">
        <v>1116</v>
      </c>
      <c r="F232" s="9" t="s">
        <v>1117</v>
      </c>
      <c r="G232" s="8" t="str">
        <f t="shared" ca="1" si="4"/>
        <v>Netzwerk-Reset</v>
      </c>
      <c r="H232" s="10" t="str">
        <f ca="1">IFERROR(__xludf.DUMMYFUNCTION("GOOGLETRANSLATE(B3,""en"", ""tr"")"),"DOLU PAKET")</f>
        <v>DOLU PAKET</v>
      </c>
      <c r="I232" s="1" t="s">
        <v>2916</v>
      </c>
    </row>
    <row r="233" spans="1:9" ht="16.5">
      <c r="A233" s="7" t="s">
        <v>1118</v>
      </c>
      <c r="B233" s="2" t="s">
        <v>1119</v>
      </c>
      <c r="C233" s="11" t="s">
        <v>1120</v>
      </c>
      <c r="D233" s="2" t="s">
        <v>1121</v>
      </c>
      <c r="E233" s="2" t="s">
        <v>1122</v>
      </c>
      <c r="F233" s="9" t="s">
        <v>1123</v>
      </c>
      <c r="G233" s="8" t="str">
        <f t="shared" ca="1" si="4"/>
        <v>Netzwerk-Reset</v>
      </c>
      <c r="H233" s="10" t="str">
        <f ca="1">IFERROR(__xludf.DUMMYFUNCTION("GOOGLETRANSLATE(B3,""en"", ""tr"")"),"DOLU PAKET")</f>
        <v>DOLU PAKET</v>
      </c>
      <c r="I233" s="1" t="s">
        <v>2738</v>
      </c>
    </row>
    <row r="234" spans="1:9" ht="33">
      <c r="A234" s="7" t="s">
        <v>1124</v>
      </c>
      <c r="B234" s="2" t="s">
        <v>1125</v>
      </c>
      <c r="C234" s="8" t="s">
        <v>1126</v>
      </c>
      <c r="D234" s="2" t="s">
        <v>1127</v>
      </c>
      <c r="E234" s="2" t="s">
        <v>1128</v>
      </c>
      <c r="F234" s="9" t="s">
        <v>1129</v>
      </c>
      <c r="G234" s="8" t="str">
        <f t="shared" ca="1" si="4"/>
        <v>Netzwerk-Reset</v>
      </c>
      <c r="H234" s="10" t="str">
        <f ca="1">IFERROR(__xludf.DUMMYFUNCTION("GOOGLETRANSLATE(B3,""en"", ""tr"")"),"DOLU PAKET")</f>
        <v>DOLU PAKET</v>
      </c>
      <c r="I234" s="1" t="s">
        <v>2917</v>
      </c>
    </row>
    <row r="235" spans="1:9" ht="16.5">
      <c r="A235" s="7" t="s">
        <v>1130</v>
      </c>
      <c r="B235" s="2" t="s">
        <v>1131</v>
      </c>
      <c r="C235" s="8" t="s">
        <v>1132</v>
      </c>
      <c r="D235" s="2" t="s">
        <v>1133</v>
      </c>
      <c r="E235" s="2" t="s">
        <v>1134</v>
      </c>
      <c r="F235" s="9" t="s">
        <v>1135</v>
      </c>
      <c r="G235" s="8" t="str">
        <f t="shared" ca="1" si="4"/>
        <v>Netzwerk-Reset</v>
      </c>
      <c r="H235" s="10" t="str">
        <f ca="1">IFERROR(__xludf.DUMMYFUNCTION("GOOGLETRANSLATE(B3,""en"", ""tr"")"),"DOLU PAKET")</f>
        <v>DOLU PAKET</v>
      </c>
      <c r="I235" s="1" t="s">
        <v>2561</v>
      </c>
    </row>
    <row r="236" spans="1:9" ht="16.5">
      <c r="A236" s="7" t="s">
        <v>1136</v>
      </c>
      <c r="B236" s="2" t="s">
        <v>1137</v>
      </c>
      <c r="C236" s="8" t="s">
        <v>1138</v>
      </c>
      <c r="D236" s="2" t="s">
        <v>1139</v>
      </c>
      <c r="E236" s="2" t="s">
        <v>1140</v>
      </c>
      <c r="F236" s="9" t="s">
        <v>1141</v>
      </c>
      <c r="G236" s="8" t="str">
        <f t="shared" ca="1" si="4"/>
        <v>Netzwerk-Reset</v>
      </c>
      <c r="H236" s="10" t="str">
        <f ca="1">IFERROR(__xludf.DUMMYFUNCTION("GOOGLETRANSLATE(B3,""en"", ""tr"")"),"DOLU PAKET")</f>
        <v>DOLU PAKET</v>
      </c>
      <c r="I236" s="1" t="s">
        <v>2739</v>
      </c>
    </row>
    <row r="237" spans="1:9" ht="16.5">
      <c r="A237" s="7" t="s">
        <v>1142</v>
      </c>
      <c r="B237" s="2" t="s">
        <v>1143</v>
      </c>
      <c r="C237" s="8" t="s">
        <v>1144</v>
      </c>
      <c r="D237" s="2" t="s">
        <v>1145</v>
      </c>
      <c r="E237" s="2" t="s">
        <v>1146</v>
      </c>
      <c r="F237" s="9" t="s">
        <v>1147</v>
      </c>
      <c r="G237" s="8" t="str">
        <f t="shared" ca="1" si="4"/>
        <v>Netzwerk-Reset</v>
      </c>
      <c r="H237" s="10" t="str">
        <f ca="1">IFERROR(__xludf.DUMMYFUNCTION("GOOGLETRANSLATE(B3,""en"", ""tr"")"),"DOLU PAKET")</f>
        <v>DOLU PAKET</v>
      </c>
      <c r="I237" s="1" t="s">
        <v>2740</v>
      </c>
    </row>
    <row r="238" spans="1:9" ht="16.5">
      <c r="A238" s="7" t="s">
        <v>1148</v>
      </c>
      <c r="B238" s="2" t="s">
        <v>1149</v>
      </c>
      <c r="C238" s="8" t="s">
        <v>1150</v>
      </c>
      <c r="D238" s="2" t="s">
        <v>1151</v>
      </c>
      <c r="E238" s="2" t="s">
        <v>1152</v>
      </c>
      <c r="F238" s="9" t="s">
        <v>1153</v>
      </c>
      <c r="G238" s="8" t="str">
        <f t="shared" ca="1" si="4"/>
        <v>Netzwerk-Reset</v>
      </c>
      <c r="H238" s="10" t="str">
        <f ca="1">IFERROR(__xludf.DUMMYFUNCTION("GOOGLETRANSLATE(B3,""en"", ""tr"")"),"DOLU PAKET")</f>
        <v>DOLU PAKET</v>
      </c>
      <c r="I238" s="1" t="s">
        <v>2741</v>
      </c>
    </row>
    <row r="239" spans="1:9" ht="25.5">
      <c r="A239" s="7" t="s">
        <v>1154</v>
      </c>
      <c r="B239" s="2" t="s">
        <v>1155</v>
      </c>
      <c r="C239" s="8" t="s">
        <v>1156</v>
      </c>
      <c r="D239" s="2" t="s">
        <v>1157</v>
      </c>
      <c r="E239" s="2" t="s">
        <v>1158</v>
      </c>
      <c r="F239" s="9" t="s">
        <v>1159</v>
      </c>
      <c r="G239" s="8" t="str">
        <f t="shared" ca="1" si="4"/>
        <v>Netzwerk-Reset</v>
      </c>
      <c r="H239" s="10" t="str">
        <f ca="1">IFERROR(__xludf.DUMMYFUNCTION("GOOGLETRANSLATE(B3,""en"", ""tr"")"),"DOLU PAKET")</f>
        <v>DOLU PAKET</v>
      </c>
      <c r="I239" s="1" t="s">
        <v>2742</v>
      </c>
    </row>
    <row r="240" spans="1:9" ht="16.5">
      <c r="A240" s="7" t="s">
        <v>1160</v>
      </c>
      <c r="B240" s="2" t="s">
        <v>1161</v>
      </c>
      <c r="C240" s="8" t="s">
        <v>1162</v>
      </c>
      <c r="D240" s="2" t="s">
        <v>1163</v>
      </c>
      <c r="E240" s="2" t="s">
        <v>1164</v>
      </c>
      <c r="F240" s="9" t="s">
        <v>1165</v>
      </c>
      <c r="G240" s="8" t="str">
        <f t="shared" ca="1" si="4"/>
        <v>Netzwerk-Reset</v>
      </c>
      <c r="H240" s="10" t="str">
        <f ca="1">IFERROR(__xludf.DUMMYFUNCTION("GOOGLETRANSLATE(B3,""en"", ""tr"")"),"DOLU PAKET")</f>
        <v>DOLU PAKET</v>
      </c>
      <c r="I240" s="1" t="s">
        <v>2743</v>
      </c>
    </row>
    <row r="241" spans="1:9" ht="16.5">
      <c r="A241" s="7" t="s">
        <v>1166</v>
      </c>
      <c r="B241" s="2" t="s">
        <v>1167</v>
      </c>
      <c r="C241" s="8" t="s">
        <v>1168</v>
      </c>
      <c r="D241" s="2" t="s">
        <v>1169</v>
      </c>
      <c r="E241" s="2" t="s">
        <v>1170</v>
      </c>
      <c r="F241" s="9" t="s">
        <v>1171</v>
      </c>
      <c r="G241" s="11" t="s">
        <v>1172</v>
      </c>
      <c r="H241" s="10" t="str">
        <f ca="1">IFERROR(__xludf.DUMMYFUNCTION("GOOGLETRANSLATE(B3,""en"", ""tr"")"),"DOLU PAKET")</f>
        <v>DOLU PAKET</v>
      </c>
      <c r="I241" s="1" t="s">
        <v>2744</v>
      </c>
    </row>
    <row r="242" spans="1:9" ht="16.5">
      <c r="A242" s="7" t="s">
        <v>1173</v>
      </c>
      <c r="B242" s="2" t="s">
        <v>1174</v>
      </c>
      <c r="C242" s="8" t="s">
        <v>1175</v>
      </c>
      <c r="D242" s="2" t="s">
        <v>1176</v>
      </c>
      <c r="E242" s="2" t="s">
        <v>1177</v>
      </c>
      <c r="F242" s="9" t="s">
        <v>1174</v>
      </c>
      <c r="G242" s="8" t="str">
        <f t="shared" ref="G242:G267" ca="1" si="12">IFERROR(__xludf.DUMMYFUNCTION("GOOGLETRANSLATE(B242,""en"", ""de"")"),"MÖGLICHKEIT")</f>
        <v>MÖGLICHKEIT</v>
      </c>
      <c r="H242" s="10" t="str">
        <f ca="1">IFERROR(__xludf.DUMMYFUNCTION("GOOGLETRANSLATE(B3,""en"", ""tr"")"),"DOLU PAKET")</f>
        <v>DOLU PAKET</v>
      </c>
      <c r="I242" s="1" t="s">
        <v>2745</v>
      </c>
    </row>
    <row r="243" spans="1:9" ht="16.5">
      <c r="A243" s="7" t="s">
        <v>1178</v>
      </c>
      <c r="B243" s="2" t="s">
        <v>1179</v>
      </c>
      <c r="C243" s="8" t="s">
        <v>1180</v>
      </c>
      <c r="D243" s="2" t="s">
        <v>1181</v>
      </c>
      <c r="E243" s="2" t="s">
        <v>1182</v>
      </c>
      <c r="F243" s="9" t="s">
        <v>1183</v>
      </c>
      <c r="G243" s="8" t="str">
        <f t="shared" ca="1" si="12"/>
        <v>MÖGLICHKEIT</v>
      </c>
      <c r="H243" s="10" t="str">
        <f ca="1">IFERROR(__xludf.DUMMYFUNCTION("GOOGLETRANSLATE(B3,""en"", ""tr"")"),"DOLU PAKET")</f>
        <v>DOLU PAKET</v>
      </c>
      <c r="I243" s="1" t="s">
        <v>2746</v>
      </c>
    </row>
    <row r="244" spans="1:9" ht="16.5">
      <c r="A244" s="7" t="s">
        <v>1184</v>
      </c>
      <c r="B244" s="2" t="s">
        <v>1185</v>
      </c>
      <c r="C244" s="8" t="s">
        <v>1186</v>
      </c>
      <c r="D244" s="2" t="s">
        <v>1187</v>
      </c>
      <c r="E244" s="2" t="s">
        <v>1188</v>
      </c>
      <c r="F244" s="9" t="s">
        <v>1189</v>
      </c>
      <c r="G244" s="8" t="str">
        <f t="shared" ca="1" si="12"/>
        <v>MÖGLICHKEIT</v>
      </c>
      <c r="H244" s="10" t="str">
        <f ca="1">IFERROR(__xludf.DUMMYFUNCTION("GOOGLETRANSLATE(B3,""en"", ""tr"")"),"DOLU PAKET")</f>
        <v>DOLU PAKET</v>
      </c>
      <c r="I244" s="1" t="s">
        <v>2747</v>
      </c>
    </row>
    <row r="245" spans="1:9" ht="16.5">
      <c r="A245" s="7" t="s">
        <v>1190</v>
      </c>
      <c r="B245" s="2" t="s">
        <v>822</v>
      </c>
      <c r="C245" s="8" t="s">
        <v>823</v>
      </c>
      <c r="D245" s="2" t="s">
        <v>822</v>
      </c>
      <c r="E245" s="2" t="s">
        <v>1191</v>
      </c>
      <c r="F245" s="9" t="s">
        <v>1192</v>
      </c>
      <c r="G245" s="8" t="str">
        <f t="shared" ca="1" si="12"/>
        <v>MÖGLICHKEIT</v>
      </c>
      <c r="H245" s="10" t="str">
        <f ca="1">IFERROR(__xludf.DUMMYFUNCTION("GOOGLETRANSLATE(B3,""en"", ""tr"")"),"DOLU PAKET")</f>
        <v>DOLU PAKET</v>
      </c>
      <c r="I245" s="1" t="s">
        <v>2723</v>
      </c>
    </row>
    <row r="246" spans="1:9" ht="16.5">
      <c r="A246" s="7" t="s">
        <v>1193</v>
      </c>
      <c r="B246" s="2" t="s">
        <v>1194</v>
      </c>
      <c r="C246" s="8" t="s">
        <v>1195</v>
      </c>
      <c r="D246" s="2" t="s">
        <v>1196</v>
      </c>
      <c r="E246" s="2" t="s">
        <v>1197</v>
      </c>
      <c r="F246" s="9" t="s">
        <v>1198</v>
      </c>
      <c r="G246" s="8" t="str">
        <f t="shared" ca="1" si="12"/>
        <v>MÖGLICHKEIT</v>
      </c>
      <c r="H246" s="10" t="str">
        <f ca="1">IFERROR(__xludf.DUMMYFUNCTION("GOOGLETRANSLATE(B3,""en"", ""tr"")"),"DOLU PAKET")</f>
        <v>DOLU PAKET</v>
      </c>
      <c r="I246" s="1" t="s">
        <v>2748</v>
      </c>
    </row>
    <row r="247" spans="1:9" ht="25.5">
      <c r="A247" s="7" t="s">
        <v>1199</v>
      </c>
      <c r="B247" s="2" t="s">
        <v>1200</v>
      </c>
      <c r="C247" s="8" t="s">
        <v>2659</v>
      </c>
      <c r="D247" s="11" t="s">
        <v>1201</v>
      </c>
      <c r="E247" s="11" t="s">
        <v>1202</v>
      </c>
      <c r="F247" s="9" t="s">
        <v>1203</v>
      </c>
      <c r="G247" s="8" t="str">
        <f t="shared" ca="1" si="12"/>
        <v>MÖGLICHKEIT</v>
      </c>
      <c r="H247" s="10" t="str">
        <f ca="1">IFERROR(__xludf.DUMMYFUNCTION("GOOGLETRANSLATE(B3,""en"", ""tr"")"),"DOLU PAKET")</f>
        <v>DOLU PAKET</v>
      </c>
      <c r="I247" s="1" t="s">
        <v>2749</v>
      </c>
    </row>
    <row r="248" spans="1:9" ht="16.5">
      <c r="A248" s="7" t="s">
        <v>1204</v>
      </c>
      <c r="B248" s="2" t="s">
        <v>1205</v>
      </c>
      <c r="C248" s="8" t="s">
        <v>2660</v>
      </c>
      <c r="D248" s="8" t="str">
        <f ca="1">IFERROR(__xludf.DUMMYFUNCTION("GOOGLETRANSLATE(B248,""en"", ""es"")"),"Restaurar")</f>
        <v>Restaurar</v>
      </c>
      <c r="E248" s="11" t="s">
        <v>1206</v>
      </c>
      <c r="F248" s="9" t="s">
        <v>1207</v>
      </c>
      <c r="G248" s="8" t="str">
        <f t="shared" ca="1" si="12"/>
        <v>MÖGLICHKEIT</v>
      </c>
      <c r="H248" s="10" t="str">
        <f ca="1">IFERROR(__xludf.DUMMYFUNCTION("GOOGLETRANSLATE(B3,""en"", ""tr"")"),"DOLU PAKET")</f>
        <v>DOLU PAKET</v>
      </c>
      <c r="I248" s="1" t="s">
        <v>2750</v>
      </c>
    </row>
    <row r="249" spans="1:9" ht="16.5">
      <c r="A249" s="7" t="s">
        <v>1208</v>
      </c>
      <c r="B249" s="2" t="s">
        <v>1209</v>
      </c>
      <c r="C249" s="8" t="s">
        <v>1210</v>
      </c>
      <c r="D249" s="2" t="s">
        <v>1211</v>
      </c>
      <c r="E249" s="2" t="s">
        <v>1212</v>
      </c>
      <c r="F249" s="9" t="s">
        <v>1213</v>
      </c>
      <c r="G249" s="8" t="str">
        <f t="shared" ca="1" si="12"/>
        <v>MÖGLICHKEIT</v>
      </c>
      <c r="H249" s="10" t="str">
        <f ca="1">IFERROR(__xludf.DUMMYFUNCTION("GOOGLETRANSLATE(B3,""en"", ""tr"")"),"DOLU PAKET")</f>
        <v>DOLU PAKET</v>
      </c>
      <c r="I249" s="1" t="s">
        <v>2751</v>
      </c>
    </row>
    <row r="250" spans="1:9" ht="38.25">
      <c r="A250" s="7" t="s">
        <v>1214</v>
      </c>
      <c r="B250" s="2" t="s">
        <v>1215</v>
      </c>
      <c r="C250" s="11" t="s">
        <v>1216</v>
      </c>
      <c r="D250" s="2" t="s">
        <v>1217</v>
      </c>
      <c r="E250" s="2" t="s">
        <v>1218</v>
      </c>
      <c r="F250" s="9" t="s">
        <v>1219</v>
      </c>
      <c r="G250" s="8" t="str">
        <f t="shared" ca="1" si="12"/>
        <v>MÖGLICHKEIT</v>
      </c>
      <c r="H250" s="10" t="str">
        <f ca="1">IFERROR(__xludf.DUMMYFUNCTION("GOOGLETRANSLATE(B3,""en"", ""tr"")"),"DOLU PAKET")</f>
        <v>DOLU PAKET</v>
      </c>
      <c r="I250" s="1"/>
    </row>
    <row r="251" spans="1:9" ht="16.5">
      <c r="A251" s="7" t="s">
        <v>1220</v>
      </c>
      <c r="B251" s="2" t="s">
        <v>1221</v>
      </c>
      <c r="C251" s="11" t="s">
        <v>1222</v>
      </c>
      <c r="D251" s="2" t="s">
        <v>1223</v>
      </c>
      <c r="E251" s="2" t="s">
        <v>1224</v>
      </c>
      <c r="F251" s="9" t="s">
        <v>1225</v>
      </c>
      <c r="G251" s="8" t="str">
        <f t="shared" ca="1" si="12"/>
        <v>MÖGLICHKEIT</v>
      </c>
      <c r="H251" s="10" t="str">
        <f ca="1">IFERROR(__xludf.DUMMYFUNCTION("GOOGLETRANSLATE(B3,""en"", ""tr"")"),"DOLU PAKET")</f>
        <v>DOLU PAKET</v>
      </c>
      <c r="I251" s="1" t="s">
        <v>2752</v>
      </c>
    </row>
    <row r="252" spans="1:9" ht="25.5">
      <c r="A252" s="7" t="s">
        <v>1226</v>
      </c>
      <c r="B252" s="2" t="s">
        <v>1227</v>
      </c>
      <c r="C252" s="8" t="s">
        <v>1228</v>
      </c>
      <c r="D252" s="2" t="s">
        <v>1229</v>
      </c>
      <c r="E252" s="2" t="s">
        <v>1230</v>
      </c>
      <c r="F252" s="9" t="s">
        <v>1231</v>
      </c>
      <c r="G252" s="8" t="str">
        <f t="shared" ca="1" si="12"/>
        <v>MÖGLICHKEIT</v>
      </c>
      <c r="H252" s="10" t="str">
        <f ca="1">IFERROR(__xludf.DUMMYFUNCTION("GOOGLETRANSLATE(B3,""en"", ""tr"")"),"DOLU PAKET")</f>
        <v>DOLU PAKET</v>
      </c>
      <c r="I252" s="1"/>
    </row>
    <row r="253" spans="1:9" ht="25.5">
      <c r="A253" s="7" t="s">
        <v>1232</v>
      </c>
      <c r="B253" s="2" t="s">
        <v>1233</v>
      </c>
      <c r="C253" s="8" t="s">
        <v>1234</v>
      </c>
      <c r="D253" s="2" t="s">
        <v>1235</v>
      </c>
      <c r="E253" s="2" t="s">
        <v>1236</v>
      </c>
      <c r="F253" s="9" t="s">
        <v>1237</v>
      </c>
      <c r="G253" s="8" t="str">
        <f t="shared" ca="1" si="12"/>
        <v>MÖGLICHKEIT</v>
      </c>
      <c r="H253" s="10" t="str">
        <f ca="1">IFERROR(__xludf.DUMMYFUNCTION("GOOGLETRANSLATE(B3,""en"", ""tr"")"),"DOLU PAKET")</f>
        <v>DOLU PAKET</v>
      </c>
      <c r="I253" s="1"/>
    </row>
    <row r="254" spans="1:9" ht="16.5">
      <c r="A254" s="7" t="s">
        <v>1238</v>
      </c>
      <c r="B254" s="2" t="s">
        <v>1239</v>
      </c>
      <c r="C254" s="8" t="s">
        <v>1240</v>
      </c>
      <c r="D254" s="2" t="s">
        <v>1241</v>
      </c>
      <c r="E254" s="2" t="s">
        <v>1242</v>
      </c>
      <c r="F254" s="9" t="s">
        <v>1243</v>
      </c>
      <c r="G254" s="8" t="str">
        <f t="shared" ca="1" si="12"/>
        <v>MÖGLICHKEIT</v>
      </c>
      <c r="H254" s="10" t="str">
        <f ca="1">IFERROR(__xludf.DUMMYFUNCTION("GOOGLETRANSLATE(B3,""en"", ""tr"")"),"DOLU PAKET")</f>
        <v>DOLU PAKET</v>
      </c>
      <c r="I254" s="25" t="s">
        <v>2753</v>
      </c>
    </row>
    <row r="255" spans="1:9" ht="16.5">
      <c r="A255" s="7" t="s">
        <v>1244</v>
      </c>
      <c r="B255" s="2" t="s">
        <v>1245</v>
      </c>
      <c r="C255" s="8" t="s">
        <v>1246</v>
      </c>
      <c r="D255" s="2" t="s">
        <v>1247</v>
      </c>
      <c r="E255" s="2" t="s">
        <v>1248</v>
      </c>
      <c r="F255" s="9" t="s">
        <v>1249</v>
      </c>
      <c r="G255" s="8" t="str">
        <f t="shared" ca="1" si="12"/>
        <v>MÖGLICHKEIT</v>
      </c>
      <c r="H255" s="10" t="str">
        <f ca="1">IFERROR(__xludf.DUMMYFUNCTION("GOOGLETRANSLATE(B3,""en"", ""tr"")"),"DOLU PAKET")</f>
        <v>DOLU PAKET</v>
      </c>
      <c r="I255" s="25" t="s">
        <v>2754</v>
      </c>
    </row>
    <row r="256" spans="1:9" ht="16.5">
      <c r="A256" s="7" t="s">
        <v>1250</v>
      </c>
      <c r="B256" s="2" t="s">
        <v>1251</v>
      </c>
      <c r="C256" s="8" t="s">
        <v>1252</v>
      </c>
      <c r="D256" s="2" t="s">
        <v>1253</v>
      </c>
      <c r="E256" s="2" t="s">
        <v>1254</v>
      </c>
      <c r="F256" s="9" t="s">
        <v>1255</v>
      </c>
      <c r="G256" s="8" t="str">
        <f t="shared" ca="1" si="12"/>
        <v>MÖGLICHKEIT</v>
      </c>
      <c r="H256" s="10" t="str">
        <f ca="1">IFERROR(__xludf.DUMMYFUNCTION("GOOGLETRANSLATE(B3,""en"", ""tr"")"),"DOLU PAKET")</f>
        <v>DOLU PAKET</v>
      </c>
      <c r="I256" s="25" t="s">
        <v>2755</v>
      </c>
    </row>
    <row r="257" spans="1:9" ht="16.5">
      <c r="A257" s="7" t="s">
        <v>1256</v>
      </c>
      <c r="B257" s="2" t="s">
        <v>1257</v>
      </c>
      <c r="C257" s="8" t="s">
        <v>1258</v>
      </c>
      <c r="D257" s="2" t="s">
        <v>1259</v>
      </c>
      <c r="E257" s="2" t="s">
        <v>1260</v>
      </c>
      <c r="F257" s="9" t="s">
        <v>1261</v>
      </c>
      <c r="G257" s="8" t="str">
        <f t="shared" ca="1" si="12"/>
        <v>MÖGLICHKEIT</v>
      </c>
      <c r="H257" s="10" t="str">
        <f ca="1">IFERROR(__xludf.DUMMYFUNCTION("GOOGLETRANSLATE(B3,""en"", ""tr"")"),"DOLU PAKET")</f>
        <v>DOLU PAKET</v>
      </c>
      <c r="I257" s="25" t="s">
        <v>2756</v>
      </c>
    </row>
    <row r="258" spans="1:9" ht="16.5">
      <c r="A258" s="7" t="s">
        <v>1262</v>
      </c>
      <c r="B258" s="2" t="s">
        <v>1263</v>
      </c>
      <c r="C258" s="8" t="s">
        <v>1264</v>
      </c>
      <c r="D258" s="2" t="s">
        <v>1265</v>
      </c>
      <c r="E258" s="2" t="s">
        <v>1266</v>
      </c>
      <c r="F258" s="9" t="s">
        <v>1267</v>
      </c>
      <c r="G258" s="8" t="str">
        <f t="shared" ca="1" si="12"/>
        <v>MÖGLICHKEIT</v>
      </c>
      <c r="H258" s="10" t="str">
        <f ca="1">IFERROR(__xludf.DUMMYFUNCTION("GOOGLETRANSLATE(B3,""en"", ""tr"")"),"DOLU PAKET")</f>
        <v>DOLU PAKET</v>
      </c>
      <c r="I258" s="1"/>
    </row>
    <row r="259" spans="1:9" ht="16.5">
      <c r="A259" s="7" t="s">
        <v>1268</v>
      </c>
      <c r="B259" s="2" t="s">
        <v>1269</v>
      </c>
      <c r="C259" s="8" t="s">
        <v>1270</v>
      </c>
      <c r="D259" s="2" t="s">
        <v>1271</v>
      </c>
      <c r="E259" s="2" t="s">
        <v>1272</v>
      </c>
      <c r="F259" s="9" t="s">
        <v>1273</v>
      </c>
      <c r="G259" s="8" t="str">
        <f t="shared" ca="1" si="12"/>
        <v>MÖGLICHKEIT</v>
      </c>
      <c r="H259" s="10" t="str">
        <f ca="1">IFERROR(__xludf.DUMMYFUNCTION("GOOGLETRANSLATE(B3,""en"", ""tr"")"),"DOLU PAKET")</f>
        <v>DOLU PAKET</v>
      </c>
      <c r="I259" s="1"/>
    </row>
    <row r="260" spans="1:9" ht="16.5">
      <c r="A260" s="7" t="s">
        <v>1274</v>
      </c>
      <c r="B260" s="2" t="s">
        <v>1275</v>
      </c>
      <c r="C260" s="8" t="s">
        <v>1276</v>
      </c>
      <c r="D260" s="2" t="s">
        <v>1277</v>
      </c>
      <c r="E260" s="2" t="s">
        <v>1278</v>
      </c>
      <c r="F260" s="9" t="s">
        <v>1279</v>
      </c>
      <c r="G260" s="8" t="str">
        <f t="shared" ca="1" si="12"/>
        <v>MÖGLICHKEIT</v>
      </c>
      <c r="H260" s="10" t="str">
        <f ca="1">IFERROR(__xludf.DUMMYFUNCTION("GOOGLETRANSLATE(B3,""en"", ""tr"")"),"DOLU PAKET")</f>
        <v>DOLU PAKET</v>
      </c>
      <c r="I260" s="1"/>
    </row>
    <row r="261" spans="1:9" ht="16.5">
      <c r="A261" s="7" t="s">
        <v>1280</v>
      </c>
      <c r="B261" s="2" t="s">
        <v>1281</v>
      </c>
      <c r="C261" s="8" t="s">
        <v>1282</v>
      </c>
      <c r="D261" s="2" t="s">
        <v>1283</v>
      </c>
      <c r="E261" s="2" t="s">
        <v>1284</v>
      </c>
      <c r="F261" s="9" t="s">
        <v>1285</v>
      </c>
      <c r="G261" s="8" t="str">
        <f t="shared" ca="1" si="12"/>
        <v>MÖGLICHKEIT</v>
      </c>
      <c r="H261" s="10" t="str">
        <f ca="1">IFERROR(__xludf.DUMMYFUNCTION("GOOGLETRANSLATE(B3,""en"", ""tr"")"),"DOLU PAKET")</f>
        <v>DOLU PAKET</v>
      </c>
      <c r="I261" s="1" t="s">
        <v>2757</v>
      </c>
    </row>
    <row r="262" spans="1:9" ht="16.5">
      <c r="A262" s="7" t="s">
        <v>1286</v>
      </c>
      <c r="B262" s="2" t="s">
        <v>1287</v>
      </c>
      <c r="C262" s="8" t="s">
        <v>1288</v>
      </c>
      <c r="D262" s="2" t="s">
        <v>1289</v>
      </c>
      <c r="E262" s="2" t="s">
        <v>1290</v>
      </c>
      <c r="F262" s="9" t="s">
        <v>1291</v>
      </c>
      <c r="G262" s="8" t="str">
        <f t="shared" ca="1" si="12"/>
        <v>MÖGLICHKEIT</v>
      </c>
      <c r="H262" s="10" t="str">
        <f ca="1">IFERROR(__xludf.DUMMYFUNCTION("GOOGLETRANSLATE(B3,""en"", ""tr"")"),"DOLU PAKET")</f>
        <v>DOLU PAKET</v>
      </c>
      <c r="I262" s="1" t="s">
        <v>2758</v>
      </c>
    </row>
    <row r="263" spans="1:9" ht="16.5">
      <c r="A263" s="7" t="s">
        <v>1292</v>
      </c>
      <c r="B263" s="2" t="s">
        <v>1293</v>
      </c>
      <c r="C263" s="8" t="s">
        <v>1294</v>
      </c>
      <c r="D263" s="2" t="s">
        <v>1295</v>
      </c>
      <c r="E263" s="2" t="s">
        <v>1296</v>
      </c>
      <c r="F263" s="9" t="s">
        <v>1297</v>
      </c>
      <c r="G263" s="8" t="str">
        <f t="shared" ca="1" si="12"/>
        <v>MÖGLICHKEIT</v>
      </c>
      <c r="H263" s="10" t="str">
        <f ca="1">IFERROR(__xludf.DUMMYFUNCTION("GOOGLETRANSLATE(B3,""en"", ""tr"")"),"DOLU PAKET")</f>
        <v>DOLU PAKET</v>
      </c>
      <c r="I263" s="1"/>
    </row>
    <row r="264" spans="1:9" ht="25.5">
      <c r="A264" s="7" t="s">
        <v>1298</v>
      </c>
      <c r="B264" s="2" t="s">
        <v>1299</v>
      </c>
      <c r="C264" s="8" t="s">
        <v>2661</v>
      </c>
      <c r="D264" s="8" t="str">
        <f ca="1">IFERROR(__xludf.DUMMYFUNCTION("GOOGLETRANSLATE(B264,""en"", ""es"")"),"Elija un soldado que desea actualizar.")</f>
        <v>Elija un soldado que desea actualizar.</v>
      </c>
      <c r="E264" s="11" t="s">
        <v>1300</v>
      </c>
      <c r="F264" s="8" t="str">
        <f ca="1">IFERROR(__xludf.DUMMYFUNCTION("GOOGLETRANSLATE(B264,""en"", ""fr"")"),"Choisissez un soldat que vous souhaitez mettre à niveau.")</f>
        <v>Choisissez un soldat que vous souhaitez mettre à niveau.</v>
      </c>
      <c r="G264" s="8" t="str">
        <f t="shared" ca="1" si="12"/>
        <v>MÖGLICHKEIT</v>
      </c>
      <c r="H264" s="10" t="str">
        <f ca="1">IFERROR(__xludf.DUMMYFUNCTION("GOOGLETRANSLATE(B3,""en"", ""tr"")"),"DOLU PAKET")</f>
        <v>DOLU PAKET</v>
      </c>
      <c r="I264" s="1" t="s">
        <v>2614</v>
      </c>
    </row>
    <row r="265" spans="1:9" ht="16.5">
      <c r="A265" s="7" t="s">
        <v>1301</v>
      </c>
      <c r="B265" s="2" t="s">
        <v>1302</v>
      </c>
      <c r="C265" s="8" t="s">
        <v>1303</v>
      </c>
      <c r="D265" s="2" t="s">
        <v>1304</v>
      </c>
      <c r="E265" s="2" t="s">
        <v>1305</v>
      </c>
      <c r="F265" s="9" t="s">
        <v>1306</v>
      </c>
      <c r="G265" s="8" t="str">
        <f t="shared" ca="1" si="12"/>
        <v>MÖGLICHKEIT</v>
      </c>
      <c r="H265" s="10" t="str">
        <f ca="1">IFERROR(__xludf.DUMMYFUNCTION("GOOGLETRANSLATE(B3,""en"", ""tr"")"),"DOLU PAKET")</f>
        <v>DOLU PAKET</v>
      </c>
      <c r="I265" s="1" t="s">
        <v>2759</v>
      </c>
    </row>
    <row r="266" spans="1:9" ht="25.5">
      <c r="A266" s="7" t="s">
        <v>1307</v>
      </c>
      <c r="B266" s="2" t="s">
        <v>1308</v>
      </c>
      <c r="C266" s="8" t="s">
        <v>1309</v>
      </c>
      <c r="D266" s="2" t="s">
        <v>1310</v>
      </c>
      <c r="E266" s="2" t="s">
        <v>1311</v>
      </c>
      <c r="F266" s="9" t="s">
        <v>1312</v>
      </c>
      <c r="G266" s="8" t="str">
        <f t="shared" ca="1" si="12"/>
        <v>MÖGLICHKEIT</v>
      </c>
      <c r="H266" s="10" t="str">
        <f ca="1">IFERROR(__xludf.DUMMYFUNCTION("GOOGLETRANSLATE(B3,""en"", ""tr"")"),"DOLU PAKET")</f>
        <v>DOLU PAKET</v>
      </c>
      <c r="I266" s="1" t="s">
        <v>2760</v>
      </c>
    </row>
    <row r="267" spans="1:9" ht="25.5">
      <c r="A267" s="7" t="s">
        <v>1313</v>
      </c>
      <c r="B267" s="2" t="s">
        <v>1314</v>
      </c>
      <c r="C267" s="8" t="s">
        <v>1315</v>
      </c>
      <c r="D267" s="2" t="s">
        <v>1316</v>
      </c>
      <c r="E267" s="2" t="s">
        <v>1317</v>
      </c>
      <c r="F267" s="9" t="s">
        <v>1318</v>
      </c>
      <c r="G267" s="8" t="str">
        <f t="shared" ca="1" si="12"/>
        <v>MÖGLICHKEIT</v>
      </c>
      <c r="H267" s="10" t="str">
        <f ca="1">IFERROR(__xludf.DUMMYFUNCTION("GOOGLETRANSLATE(B3,""en"", ""tr"")"),"DOLU PAKET")</f>
        <v>DOLU PAKET</v>
      </c>
      <c r="I267" s="1" t="s">
        <v>2761</v>
      </c>
    </row>
    <row r="268" spans="1:9" ht="16.5">
      <c r="A268" s="7" t="s">
        <v>1319</v>
      </c>
      <c r="B268" s="2" t="s">
        <v>1320</v>
      </c>
      <c r="C268" s="12" t="s">
        <v>2762</v>
      </c>
      <c r="D268" s="2" t="s">
        <v>1321</v>
      </c>
      <c r="E268" s="2" t="s">
        <v>1322</v>
      </c>
      <c r="F268" s="9" t="s">
        <v>1323</v>
      </c>
      <c r="G268" s="11" t="s">
        <v>1324</v>
      </c>
      <c r="H268" s="26" t="s">
        <v>1325</v>
      </c>
      <c r="I268" s="1" t="s">
        <v>2763</v>
      </c>
    </row>
    <row r="269" spans="1:9" ht="16.5">
      <c r="A269" s="7" t="s">
        <v>1326</v>
      </c>
      <c r="B269" s="2" t="s">
        <v>1327</v>
      </c>
      <c r="C269" s="8" t="s">
        <v>1328</v>
      </c>
      <c r="D269" s="2" t="s">
        <v>1329</v>
      </c>
      <c r="E269" s="2" t="s">
        <v>1330</v>
      </c>
      <c r="F269" s="9" t="s">
        <v>1331</v>
      </c>
      <c r="G269" s="8" t="str">
        <f t="shared" ref="G269:G384" ca="1" si="13">IFERROR(__xludf.DUMMYFUNCTION("GOOGLETRANSLATE(B269,""en"", ""de"")"),"Nächster")</f>
        <v>Nächster</v>
      </c>
      <c r="H269" s="10" t="str">
        <f t="shared" ref="H269:H384" ca="1" si="14">IFERROR(__xludf.DUMMYFUNCTION("GOOGLETRANSLATE(B269,""en"", ""tr"")"),"Sonraki")</f>
        <v>Sonraki</v>
      </c>
      <c r="I269" s="1" t="s">
        <v>2764</v>
      </c>
    </row>
    <row r="270" spans="1:9" ht="16.5">
      <c r="A270" s="7" t="s">
        <v>1332</v>
      </c>
      <c r="B270" s="2" t="s">
        <v>1333</v>
      </c>
      <c r="C270" s="8" t="s">
        <v>1334</v>
      </c>
      <c r="D270" s="2" t="s">
        <v>1335</v>
      </c>
      <c r="E270" s="2" t="s">
        <v>1336</v>
      </c>
      <c r="F270" s="9" t="s">
        <v>1337</v>
      </c>
      <c r="G270" s="8" t="str">
        <f t="shared" ca="1" si="13"/>
        <v>Nächster</v>
      </c>
      <c r="H270" s="10" t="str">
        <f t="shared" ca="1" si="14"/>
        <v>Sonraki</v>
      </c>
      <c r="I270" s="1" t="s">
        <v>2765</v>
      </c>
    </row>
    <row r="271" spans="1:9" ht="16.5">
      <c r="A271" s="7" t="s">
        <v>1338</v>
      </c>
      <c r="B271" s="2" t="s">
        <v>1339</v>
      </c>
      <c r="C271" s="8" t="s">
        <v>1340</v>
      </c>
      <c r="D271" s="2" t="s">
        <v>1341</v>
      </c>
      <c r="E271" s="2" t="s">
        <v>1342</v>
      </c>
      <c r="F271" s="9" t="s">
        <v>1343</v>
      </c>
      <c r="G271" s="8" t="str">
        <f t="shared" ca="1" si="13"/>
        <v>Nächster</v>
      </c>
      <c r="H271" s="10" t="str">
        <f t="shared" ca="1" si="14"/>
        <v>Sonraki</v>
      </c>
      <c r="I271" s="1" t="s">
        <v>2766</v>
      </c>
    </row>
    <row r="272" spans="1:9" ht="16.5">
      <c r="A272" s="7" t="s">
        <v>1344</v>
      </c>
      <c r="B272" s="2" t="s">
        <v>1345</v>
      </c>
      <c r="C272" s="8" t="s">
        <v>1346</v>
      </c>
      <c r="D272" s="2" t="s">
        <v>1347</v>
      </c>
      <c r="E272" s="2" t="s">
        <v>1348</v>
      </c>
      <c r="F272" s="9" t="s">
        <v>1349</v>
      </c>
      <c r="G272" s="8" t="str">
        <f t="shared" ca="1" si="13"/>
        <v>Nächster</v>
      </c>
      <c r="H272" s="10" t="str">
        <f t="shared" ca="1" si="14"/>
        <v>Sonraki</v>
      </c>
      <c r="I272" s="1" t="s">
        <v>2767</v>
      </c>
    </row>
    <row r="273" spans="1:9" ht="16.5">
      <c r="A273" s="7" t="s">
        <v>1350</v>
      </c>
      <c r="B273" s="2" t="s">
        <v>1351</v>
      </c>
      <c r="C273" s="11" t="s">
        <v>1352</v>
      </c>
      <c r="D273" s="2" t="s">
        <v>1353</v>
      </c>
      <c r="E273" s="2" t="s">
        <v>1354</v>
      </c>
      <c r="F273" s="9" t="s">
        <v>1355</v>
      </c>
      <c r="G273" s="8" t="str">
        <f t="shared" ca="1" si="13"/>
        <v>Nächster</v>
      </c>
      <c r="H273" s="10" t="str">
        <f t="shared" ca="1" si="14"/>
        <v>Sonraki</v>
      </c>
      <c r="I273" s="1" t="s">
        <v>2768</v>
      </c>
    </row>
    <row r="274" spans="1:9" ht="16.5">
      <c r="A274" s="7" t="s">
        <v>1356</v>
      </c>
      <c r="B274" s="2" t="s">
        <v>2769</v>
      </c>
      <c r="C274" s="8" t="s">
        <v>1357</v>
      </c>
      <c r="D274" s="2" t="s">
        <v>1358</v>
      </c>
      <c r="E274" s="2" t="s">
        <v>1359</v>
      </c>
      <c r="F274" s="9" t="s">
        <v>1360</v>
      </c>
      <c r="G274" s="8" t="str">
        <f t="shared" ca="1" si="13"/>
        <v>Nächster</v>
      </c>
      <c r="H274" s="10" t="str">
        <f t="shared" ca="1" si="14"/>
        <v>Sonraki</v>
      </c>
      <c r="I274" s="1" t="s">
        <v>2770</v>
      </c>
    </row>
    <row r="275" spans="1:9" ht="16.5">
      <c r="A275" s="7" t="s">
        <v>1361</v>
      </c>
      <c r="B275" s="2" t="s">
        <v>1362</v>
      </c>
      <c r="C275" s="8" t="s">
        <v>1363</v>
      </c>
      <c r="D275" s="2" t="s">
        <v>1364</v>
      </c>
      <c r="E275" s="2" t="s">
        <v>1365</v>
      </c>
      <c r="F275" s="9" t="s">
        <v>1362</v>
      </c>
      <c r="G275" s="8" t="str">
        <f t="shared" ca="1" si="13"/>
        <v>Nächster</v>
      </c>
      <c r="H275" s="10" t="str">
        <f t="shared" ca="1" si="14"/>
        <v>Sonraki</v>
      </c>
      <c r="I275" s="1" t="s">
        <v>2771</v>
      </c>
    </row>
    <row r="276" spans="1:9" ht="16.5">
      <c r="A276" s="7" t="s">
        <v>1366</v>
      </c>
      <c r="B276" s="2" t="s">
        <v>1367</v>
      </c>
      <c r="C276" s="8" t="s">
        <v>1368</v>
      </c>
      <c r="D276" s="2" t="s">
        <v>1369</v>
      </c>
      <c r="E276" s="2" t="s">
        <v>1370</v>
      </c>
      <c r="F276" s="9" t="s">
        <v>1367</v>
      </c>
      <c r="G276" s="8" t="str">
        <f t="shared" ca="1" si="13"/>
        <v>Nächster</v>
      </c>
      <c r="H276" s="10" t="str">
        <f t="shared" ca="1" si="14"/>
        <v>Sonraki</v>
      </c>
      <c r="I276" s="1" t="s">
        <v>2772</v>
      </c>
    </row>
    <row r="277" spans="1:9" ht="16.5">
      <c r="A277" s="7" t="s">
        <v>1371</v>
      </c>
      <c r="B277" s="2" t="s">
        <v>1372</v>
      </c>
      <c r="C277" s="8" t="s">
        <v>1373</v>
      </c>
      <c r="D277" s="2" t="s">
        <v>1374</v>
      </c>
      <c r="E277" s="2" t="s">
        <v>1375</v>
      </c>
      <c r="F277" s="9" t="s">
        <v>1376</v>
      </c>
      <c r="G277" s="8" t="str">
        <f t="shared" ca="1" si="13"/>
        <v>Nächster</v>
      </c>
      <c r="H277" s="10" t="str">
        <f t="shared" ca="1" si="14"/>
        <v>Sonraki</v>
      </c>
      <c r="I277" s="1" t="s">
        <v>2773</v>
      </c>
    </row>
    <row r="278" spans="1:9" ht="16.5">
      <c r="A278" s="7" t="s">
        <v>1377</v>
      </c>
      <c r="B278" s="2" t="s">
        <v>1378</v>
      </c>
      <c r="C278" s="8" t="s">
        <v>1379</v>
      </c>
      <c r="D278" s="2" t="s">
        <v>1380</v>
      </c>
      <c r="E278" s="2" t="s">
        <v>1381</v>
      </c>
      <c r="F278" s="9" t="s">
        <v>1382</v>
      </c>
      <c r="G278" s="8" t="str">
        <f t="shared" ca="1" si="13"/>
        <v>Nächster</v>
      </c>
      <c r="H278" s="10" t="str">
        <f t="shared" ca="1" si="14"/>
        <v>Sonraki</v>
      </c>
      <c r="I278" s="1" t="s">
        <v>2774</v>
      </c>
    </row>
    <row r="279" spans="1:9" ht="16.5">
      <c r="A279" s="7" t="s">
        <v>1383</v>
      </c>
      <c r="B279" s="2" t="s">
        <v>1384</v>
      </c>
      <c r="C279" s="8" t="s">
        <v>2662</v>
      </c>
      <c r="D279" s="8" t="str">
        <f ca="1">IFERROR(__xludf.DUMMYFUNCTION("GOOGLETRANSLATE(B279,""en"", ""es"")"),"Partido de la barbacoa")</f>
        <v>Partido de la barbacoa</v>
      </c>
      <c r="E279" s="11" t="s">
        <v>1385</v>
      </c>
      <c r="F279" s="9" t="s">
        <v>1386</v>
      </c>
      <c r="G279" s="8" t="str">
        <f t="shared" ca="1" si="13"/>
        <v>Nächster</v>
      </c>
      <c r="H279" s="10" t="str">
        <f t="shared" ca="1" si="14"/>
        <v>Sonraki</v>
      </c>
      <c r="I279" s="1" t="s">
        <v>2775</v>
      </c>
    </row>
    <row r="280" spans="1:9" ht="16.5">
      <c r="A280" s="7" t="s">
        <v>1387</v>
      </c>
      <c r="B280" s="2" t="s">
        <v>1388</v>
      </c>
      <c r="C280" s="8" t="s">
        <v>1389</v>
      </c>
      <c r="D280" s="2" t="s">
        <v>1390</v>
      </c>
      <c r="E280" s="2" t="s">
        <v>1391</v>
      </c>
      <c r="F280" s="9" t="s">
        <v>1388</v>
      </c>
      <c r="G280" s="8" t="str">
        <f t="shared" ca="1" si="13"/>
        <v>Nächster</v>
      </c>
      <c r="H280" s="10" t="str">
        <f t="shared" ca="1" si="14"/>
        <v>Sonraki</v>
      </c>
      <c r="I280" s="1" t="s">
        <v>2776</v>
      </c>
    </row>
    <row r="281" spans="1:9" ht="16.5">
      <c r="A281" s="7" t="s">
        <v>1392</v>
      </c>
      <c r="B281" s="2" t="s">
        <v>1393</v>
      </c>
      <c r="C281" s="8" t="s">
        <v>1394</v>
      </c>
      <c r="D281" s="2" t="s">
        <v>1395</v>
      </c>
      <c r="E281" s="2" t="s">
        <v>1396</v>
      </c>
      <c r="F281" s="9" t="s">
        <v>1397</v>
      </c>
      <c r="G281" s="8" t="str">
        <f t="shared" ca="1" si="13"/>
        <v>Nächster</v>
      </c>
      <c r="H281" s="10" t="str">
        <f t="shared" ca="1" si="14"/>
        <v>Sonraki</v>
      </c>
      <c r="I281" s="1" t="s">
        <v>2777</v>
      </c>
    </row>
    <row r="282" spans="1:9" ht="16.5">
      <c r="A282" s="7" t="s">
        <v>1398</v>
      </c>
      <c r="B282" s="2" t="s">
        <v>1399</v>
      </c>
      <c r="C282" s="8" t="s">
        <v>1400</v>
      </c>
      <c r="D282" s="2" t="s">
        <v>1401</v>
      </c>
      <c r="E282" s="2" t="s">
        <v>1402</v>
      </c>
      <c r="F282" s="9" t="s">
        <v>1403</v>
      </c>
      <c r="G282" s="8" t="str">
        <f t="shared" ca="1" si="13"/>
        <v>Nächster</v>
      </c>
      <c r="H282" s="10" t="str">
        <f t="shared" ca="1" si="14"/>
        <v>Sonraki</v>
      </c>
      <c r="I282" s="1" t="s">
        <v>2778</v>
      </c>
    </row>
    <row r="283" spans="1:9" ht="16.5">
      <c r="A283" s="7" t="s">
        <v>1404</v>
      </c>
      <c r="B283" s="2" t="s">
        <v>2779</v>
      </c>
      <c r="C283" s="8" t="s">
        <v>1405</v>
      </c>
      <c r="D283" s="2" t="s">
        <v>1406</v>
      </c>
      <c r="E283" s="2" t="s">
        <v>1407</v>
      </c>
      <c r="F283" s="9" t="s">
        <v>1408</v>
      </c>
      <c r="G283" s="8" t="str">
        <f t="shared" ca="1" si="13"/>
        <v>Nächster</v>
      </c>
      <c r="H283" s="10" t="str">
        <f t="shared" ca="1" si="14"/>
        <v>Sonraki</v>
      </c>
      <c r="I283" s="1" t="s">
        <v>2780</v>
      </c>
    </row>
    <row r="284" spans="1:9" ht="25.5">
      <c r="A284" s="7" t="s">
        <v>1409</v>
      </c>
      <c r="B284" s="2" t="s">
        <v>1410</v>
      </c>
      <c r="C284" s="11" t="s">
        <v>1411</v>
      </c>
      <c r="D284" s="8" t="str">
        <f ca="1">IFERROR(__xludf.DUMMYFUNCTION("GOOGLETRANSLATE(B284,""en"", ""es"")"),"Se requiere una casa de arma.")</f>
        <v>Se requiere una casa de arma.</v>
      </c>
      <c r="E284" s="11" t="s">
        <v>1412</v>
      </c>
      <c r="F284" s="9" t="s">
        <v>1413</v>
      </c>
      <c r="G284" s="8" t="str">
        <f t="shared" ca="1" si="13"/>
        <v>Nächster</v>
      </c>
      <c r="H284" s="10" t="str">
        <f t="shared" ca="1" si="14"/>
        <v>Sonraki</v>
      </c>
      <c r="I284" s="1" t="s">
        <v>2781</v>
      </c>
    </row>
    <row r="285" spans="1:9" ht="16.5">
      <c r="A285" s="7" t="s">
        <v>1414</v>
      </c>
      <c r="B285" s="2" t="s">
        <v>1415</v>
      </c>
      <c r="C285" s="11" t="s">
        <v>1416</v>
      </c>
      <c r="D285" s="2" t="s">
        <v>1417</v>
      </c>
      <c r="E285" s="2" t="s">
        <v>1418</v>
      </c>
      <c r="F285" s="9" t="s">
        <v>1419</v>
      </c>
      <c r="G285" s="8" t="str">
        <f t="shared" ca="1" si="13"/>
        <v>Nächster</v>
      </c>
      <c r="H285" s="10" t="str">
        <f t="shared" ca="1" si="14"/>
        <v>Sonraki</v>
      </c>
      <c r="I285" s="1" t="s">
        <v>2782</v>
      </c>
    </row>
    <row r="286" spans="1:9" ht="25.5">
      <c r="A286" s="7" t="s">
        <v>1420</v>
      </c>
      <c r="B286" s="2" t="s">
        <v>1421</v>
      </c>
      <c r="C286" s="8" t="s">
        <v>1422</v>
      </c>
      <c r="D286" s="2" t="s">
        <v>1423</v>
      </c>
      <c r="E286" s="2" t="s">
        <v>1424</v>
      </c>
      <c r="F286" s="9" t="s">
        <v>1425</v>
      </c>
      <c r="G286" s="8" t="str">
        <f t="shared" ca="1" si="13"/>
        <v>Nächster</v>
      </c>
      <c r="H286" s="10" t="str">
        <f t="shared" ca="1" si="14"/>
        <v>Sonraki</v>
      </c>
      <c r="I286" s="1" t="s">
        <v>2783</v>
      </c>
    </row>
    <row r="287" spans="1:9" ht="16.5">
      <c r="A287" s="7" t="s">
        <v>2784</v>
      </c>
      <c r="B287" s="2" t="s">
        <v>1426</v>
      </c>
      <c r="C287" s="8" t="s">
        <v>1427</v>
      </c>
      <c r="D287" s="2" t="s">
        <v>1428</v>
      </c>
      <c r="E287" s="2" t="s">
        <v>1429</v>
      </c>
      <c r="F287" s="9" t="s">
        <v>1430</v>
      </c>
      <c r="G287" s="8" t="str">
        <f t="shared" ca="1" si="13"/>
        <v>Nächster</v>
      </c>
      <c r="H287" s="10" t="str">
        <f t="shared" ca="1" si="14"/>
        <v>Sonraki</v>
      </c>
      <c r="I287" s="1" t="s">
        <v>2785</v>
      </c>
    </row>
    <row r="288" spans="1:9" ht="16.5">
      <c r="A288" s="7" t="s">
        <v>1431</v>
      </c>
      <c r="B288" s="2" t="s">
        <v>1432</v>
      </c>
      <c r="C288" s="8" t="s">
        <v>1433</v>
      </c>
      <c r="D288" s="2" t="s">
        <v>1434</v>
      </c>
      <c r="E288" s="2" t="s">
        <v>1435</v>
      </c>
      <c r="F288" s="9" t="s">
        <v>1436</v>
      </c>
      <c r="G288" s="8" t="str">
        <f t="shared" ca="1" si="13"/>
        <v>Nächster</v>
      </c>
      <c r="H288" s="10" t="str">
        <f t="shared" ca="1" si="14"/>
        <v>Sonraki</v>
      </c>
      <c r="I288" s="1" t="s">
        <v>2786</v>
      </c>
    </row>
    <row r="289" spans="1:9" ht="16.5">
      <c r="A289" s="7" t="s">
        <v>1437</v>
      </c>
      <c r="B289" s="2" t="s">
        <v>2787</v>
      </c>
      <c r="C289" s="8" t="s">
        <v>1438</v>
      </c>
      <c r="D289" s="2" t="s">
        <v>1439</v>
      </c>
      <c r="E289" s="2" t="s">
        <v>1440</v>
      </c>
      <c r="F289" s="9" t="s">
        <v>1441</v>
      </c>
      <c r="G289" s="8" t="str">
        <f t="shared" ca="1" si="13"/>
        <v>Nächster</v>
      </c>
      <c r="H289" s="10" t="str">
        <f t="shared" ca="1" si="14"/>
        <v>Sonraki</v>
      </c>
      <c r="I289" s="1" t="s">
        <v>2788</v>
      </c>
    </row>
    <row r="290" spans="1:9" ht="16.5">
      <c r="A290" s="7" t="s">
        <v>1442</v>
      </c>
      <c r="B290" s="2" t="s">
        <v>1443</v>
      </c>
      <c r="C290" s="8" t="s">
        <v>1444</v>
      </c>
      <c r="D290" s="2" t="s">
        <v>1445</v>
      </c>
      <c r="E290" s="2" t="s">
        <v>1446</v>
      </c>
      <c r="F290" s="9" t="s">
        <v>1447</v>
      </c>
      <c r="G290" s="8" t="str">
        <f t="shared" ca="1" si="13"/>
        <v>Nächster</v>
      </c>
      <c r="H290" s="10" t="str">
        <f t="shared" ca="1" si="14"/>
        <v>Sonraki</v>
      </c>
      <c r="I290" s="1" t="s">
        <v>2789</v>
      </c>
    </row>
    <row r="291" spans="1:9" ht="16.5">
      <c r="A291" s="7" t="s">
        <v>1448</v>
      </c>
      <c r="B291" s="2" t="s">
        <v>1449</v>
      </c>
      <c r="C291" s="8" t="s">
        <v>1450</v>
      </c>
      <c r="D291" s="2" t="s">
        <v>1451</v>
      </c>
      <c r="E291" s="2" t="s">
        <v>1452</v>
      </c>
      <c r="F291" s="9" t="s">
        <v>1453</v>
      </c>
      <c r="G291" s="8" t="str">
        <f t="shared" ca="1" si="13"/>
        <v>Nächster</v>
      </c>
      <c r="H291" s="10" t="str">
        <f t="shared" ca="1" si="14"/>
        <v>Sonraki</v>
      </c>
      <c r="I291" s="1" t="s">
        <v>2790</v>
      </c>
    </row>
    <row r="292" spans="1:9" ht="16.5">
      <c r="A292" s="7" t="s">
        <v>1454</v>
      </c>
      <c r="B292" s="2" t="s">
        <v>1455</v>
      </c>
      <c r="C292" s="8" t="s">
        <v>1456</v>
      </c>
      <c r="D292" s="2" t="s">
        <v>1457</v>
      </c>
      <c r="E292" s="2" t="s">
        <v>1458</v>
      </c>
      <c r="F292" s="9" t="s">
        <v>1455</v>
      </c>
      <c r="G292" s="8" t="str">
        <f t="shared" ca="1" si="13"/>
        <v>Nächster</v>
      </c>
      <c r="H292" s="10" t="str">
        <f t="shared" ca="1" si="14"/>
        <v>Sonraki</v>
      </c>
      <c r="I292" s="1" t="s">
        <v>2791</v>
      </c>
    </row>
    <row r="293" spans="1:9" ht="16.5">
      <c r="A293" s="7" t="s">
        <v>1459</v>
      </c>
      <c r="B293" s="2" t="s">
        <v>1460</v>
      </c>
      <c r="C293" s="8" t="s">
        <v>1461</v>
      </c>
      <c r="D293" s="2" t="s">
        <v>1460</v>
      </c>
      <c r="E293" s="2" t="s">
        <v>1462</v>
      </c>
      <c r="F293" s="9" t="s">
        <v>1463</v>
      </c>
      <c r="G293" s="8" t="str">
        <f t="shared" ca="1" si="13"/>
        <v>Nächster</v>
      </c>
      <c r="H293" s="10" t="str">
        <f t="shared" ca="1" si="14"/>
        <v>Sonraki</v>
      </c>
      <c r="I293" s="1" t="s">
        <v>2792</v>
      </c>
    </row>
    <row r="294" spans="1:9" ht="16.5">
      <c r="A294" s="7" t="s">
        <v>1464</v>
      </c>
      <c r="B294" s="2" t="s">
        <v>1465</v>
      </c>
      <c r="C294" s="8" t="s">
        <v>1466</v>
      </c>
      <c r="D294" s="2" t="s">
        <v>1467</v>
      </c>
      <c r="E294" s="2" t="s">
        <v>1468</v>
      </c>
      <c r="F294" s="9" t="s">
        <v>1469</v>
      </c>
      <c r="G294" s="8" t="str">
        <f t="shared" ca="1" si="13"/>
        <v>Nächster</v>
      </c>
      <c r="H294" s="10" t="str">
        <f t="shared" ca="1" si="14"/>
        <v>Sonraki</v>
      </c>
      <c r="I294" s="1" t="s">
        <v>2793</v>
      </c>
    </row>
    <row r="295" spans="1:9" ht="16.5">
      <c r="A295" s="7" t="s">
        <v>1470</v>
      </c>
      <c r="B295" s="2" t="s">
        <v>1471</v>
      </c>
      <c r="C295" s="8" t="s">
        <v>1472</v>
      </c>
      <c r="D295" s="2" t="s">
        <v>1473</v>
      </c>
      <c r="E295" s="2" t="s">
        <v>1474</v>
      </c>
      <c r="F295" s="9" t="s">
        <v>1475</v>
      </c>
      <c r="G295" s="8" t="str">
        <f t="shared" ca="1" si="13"/>
        <v>Nächster</v>
      </c>
      <c r="H295" s="10" t="str">
        <f t="shared" ca="1" si="14"/>
        <v>Sonraki</v>
      </c>
      <c r="I295" s="1" t="s">
        <v>2794</v>
      </c>
    </row>
    <row r="296" spans="1:9" ht="16.5">
      <c r="A296" s="7" t="s">
        <v>1476</v>
      </c>
      <c r="B296" s="2" t="s">
        <v>1477</v>
      </c>
      <c r="C296" s="8" t="s">
        <v>1478</v>
      </c>
      <c r="D296" s="2" t="s">
        <v>1479</v>
      </c>
      <c r="E296" s="2" t="s">
        <v>1480</v>
      </c>
      <c r="F296" s="9" t="s">
        <v>1481</v>
      </c>
      <c r="G296" s="8" t="str">
        <f t="shared" ca="1" si="13"/>
        <v>Nächster</v>
      </c>
      <c r="H296" s="10" t="str">
        <f t="shared" ca="1" si="14"/>
        <v>Sonraki</v>
      </c>
      <c r="I296" s="1" t="s">
        <v>2795</v>
      </c>
    </row>
    <row r="297" spans="1:9" ht="16.5">
      <c r="A297" s="7" t="s">
        <v>1482</v>
      </c>
      <c r="B297" s="2" t="s">
        <v>1483</v>
      </c>
      <c r="C297" s="8" t="s">
        <v>1484</v>
      </c>
      <c r="D297" s="2" t="s">
        <v>1485</v>
      </c>
      <c r="E297" s="2" t="s">
        <v>1486</v>
      </c>
      <c r="F297" s="9" t="s">
        <v>1487</v>
      </c>
      <c r="G297" s="8" t="str">
        <f t="shared" ca="1" si="13"/>
        <v>Nächster</v>
      </c>
      <c r="H297" s="10" t="str">
        <f t="shared" ca="1" si="14"/>
        <v>Sonraki</v>
      </c>
      <c r="I297" s="1" t="s">
        <v>2796</v>
      </c>
    </row>
    <row r="298" spans="1:9" ht="16.5">
      <c r="A298" s="7" t="s">
        <v>1488</v>
      </c>
      <c r="B298" s="2" t="s">
        <v>1489</v>
      </c>
      <c r="C298" s="8" t="s">
        <v>1490</v>
      </c>
      <c r="D298" s="2" t="s">
        <v>1491</v>
      </c>
      <c r="E298" s="2" t="s">
        <v>1492</v>
      </c>
      <c r="F298" s="9" t="s">
        <v>1493</v>
      </c>
      <c r="G298" s="8" t="str">
        <f t="shared" ca="1" si="13"/>
        <v>Nächster</v>
      </c>
      <c r="H298" s="10" t="str">
        <f t="shared" ca="1" si="14"/>
        <v>Sonraki</v>
      </c>
      <c r="I298" s="1" t="s">
        <v>2798</v>
      </c>
    </row>
    <row r="299" spans="1:9" ht="16.5">
      <c r="A299" s="7" t="s">
        <v>1494</v>
      </c>
      <c r="B299" s="2" t="s">
        <v>1495</v>
      </c>
      <c r="C299" s="8" t="s">
        <v>1496</v>
      </c>
      <c r="D299" s="2" t="s">
        <v>1497</v>
      </c>
      <c r="E299" s="2" t="s">
        <v>1498</v>
      </c>
      <c r="F299" s="9" t="s">
        <v>1495</v>
      </c>
      <c r="G299" s="8" t="str">
        <f t="shared" ca="1" si="13"/>
        <v>Nächster</v>
      </c>
      <c r="H299" s="10" t="str">
        <f t="shared" ca="1" si="14"/>
        <v>Sonraki</v>
      </c>
      <c r="I299" s="1" t="s">
        <v>2799</v>
      </c>
    </row>
    <row r="300" spans="1:9" ht="16.5">
      <c r="A300" s="7" t="s">
        <v>1499</v>
      </c>
      <c r="B300" s="2" t="s">
        <v>1500</v>
      </c>
      <c r="C300" s="8" t="s">
        <v>1501</v>
      </c>
      <c r="D300" s="2" t="s">
        <v>1502</v>
      </c>
      <c r="E300" s="2" t="s">
        <v>1503</v>
      </c>
      <c r="F300" s="9" t="s">
        <v>1504</v>
      </c>
      <c r="G300" s="8" t="str">
        <f t="shared" ca="1" si="13"/>
        <v>Nächster</v>
      </c>
      <c r="H300" s="10" t="str">
        <f t="shared" ca="1" si="14"/>
        <v>Sonraki</v>
      </c>
      <c r="I300" s="1" t="s">
        <v>2801</v>
      </c>
    </row>
    <row r="301" spans="1:9" ht="16.5">
      <c r="A301" s="7" t="s">
        <v>1505</v>
      </c>
      <c r="B301" s="2" t="s">
        <v>1506</v>
      </c>
      <c r="C301" s="8" t="s">
        <v>1507</v>
      </c>
      <c r="D301" s="2" t="s">
        <v>1508</v>
      </c>
      <c r="E301" s="2" t="s">
        <v>1509</v>
      </c>
      <c r="F301" s="9" t="s">
        <v>1510</v>
      </c>
      <c r="G301" s="8" t="str">
        <f t="shared" ca="1" si="13"/>
        <v>Nächster</v>
      </c>
      <c r="H301" s="10" t="str">
        <f t="shared" ca="1" si="14"/>
        <v>Sonraki</v>
      </c>
      <c r="I301" s="1" t="s">
        <v>2802</v>
      </c>
    </row>
    <row r="302" spans="1:9" ht="16.5">
      <c r="A302" s="7" t="s">
        <v>1511</v>
      </c>
      <c r="B302" s="2" t="s">
        <v>1512</v>
      </c>
      <c r="C302" s="8" t="s">
        <v>1513</v>
      </c>
      <c r="D302" s="2" t="s">
        <v>1514</v>
      </c>
      <c r="E302" s="2" t="s">
        <v>1515</v>
      </c>
      <c r="F302" s="9" t="s">
        <v>1516</v>
      </c>
      <c r="G302" s="8" t="str">
        <f t="shared" ca="1" si="13"/>
        <v>Nächster</v>
      </c>
      <c r="H302" s="10" t="str">
        <f t="shared" ca="1" si="14"/>
        <v>Sonraki</v>
      </c>
      <c r="I302" s="1" t="s">
        <v>2803</v>
      </c>
    </row>
    <row r="303" spans="1:9" ht="16.5">
      <c r="A303" s="7" t="s">
        <v>1517</v>
      </c>
      <c r="B303" s="2" t="s">
        <v>1518</v>
      </c>
      <c r="C303" s="8" t="s">
        <v>1519</v>
      </c>
      <c r="D303" s="2" t="s">
        <v>1520</v>
      </c>
      <c r="E303" s="2" t="s">
        <v>1521</v>
      </c>
      <c r="F303" s="9" t="s">
        <v>1522</v>
      </c>
      <c r="G303" s="8" t="str">
        <f t="shared" ca="1" si="13"/>
        <v>Nächster</v>
      </c>
      <c r="H303" s="10" t="str">
        <f t="shared" ca="1" si="14"/>
        <v>Sonraki</v>
      </c>
      <c r="I303" s="1" t="s">
        <v>2804</v>
      </c>
    </row>
    <row r="304" spans="1:9" ht="16.5">
      <c r="A304" s="7" t="s">
        <v>1523</v>
      </c>
      <c r="B304" s="2" t="s">
        <v>2805</v>
      </c>
      <c r="C304" s="8" t="s">
        <v>1525</v>
      </c>
      <c r="D304" s="2" t="s">
        <v>1524</v>
      </c>
      <c r="E304" s="2" t="s">
        <v>1526</v>
      </c>
      <c r="F304" s="9" t="s">
        <v>1527</v>
      </c>
      <c r="G304" s="8" t="str">
        <f t="shared" ca="1" si="13"/>
        <v>Nächster</v>
      </c>
      <c r="H304" s="10" t="str">
        <f t="shared" ca="1" si="14"/>
        <v>Sonraki</v>
      </c>
      <c r="I304" s="1" t="s">
        <v>2806</v>
      </c>
    </row>
    <row r="305" spans="1:9" ht="16.5">
      <c r="A305" s="7" t="s">
        <v>1528</v>
      </c>
      <c r="B305" s="2" t="s">
        <v>1529</v>
      </c>
      <c r="C305" s="8" t="s">
        <v>1530</v>
      </c>
      <c r="D305" s="2" t="s">
        <v>1529</v>
      </c>
      <c r="E305" s="2" t="s">
        <v>1531</v>
      </c>
      <c r="F305" s="9" t="s">
        <v>1529</v>
      </c>
      <c r="G305" s="8" t="str">
        <f t="shared" ca="1" si="13"/>
        <v>Nächster</v>
      </c>
      <c r="H305" s="10" t="str">
        <f t="shared" ca="1" si="14"/>
        <v>Sonraki</v>
      </c>
      <c r="I305" s="1" t="s">
        <v>2807</v>
      </c>
    </row>
    <row r="306" spans="1:9" ht="16.5">
      <c r="A306" s="7" t="s">
        <v>1532</v>
      </c>
      <c r="B306" s="2" t="s">
        <v>1533</v>
      </c>
      <c r="C306" s="11" t="s">
        <v>1534</v>
      </c>
      <c r="D306" s="8" t="str">
        <f ca="1">IFERROR(__xludf.DUMMYFUNCTION("GOOGLETRANSLATE(B306,""en"", ""es"")"),"Trabajador Goblin")</f>
        <v>Trabajador Goblin</v>
      </c>
      <c r="E306" s="11" t="s">
        <v>1535</v>
      </c>
      <c r="F306" s="9" t="s">
        <v>1536</v>
      </c>
      <c r="G306" s="8" t="str">
        <f t="shared" ca="1" si="13"/>
        <v>Nächster</v>
      </c>
      <c r="H306" s="10" t="str">
        <f t="shared" ca="1" si="14"/>
        <v>Sonraki</v>
      </c>
      <c r="I306" s="1" t="s">
        <v>2809</v>
      </c>
    </row>
    <row r="307" spans="1:9" ht="16.5">
      <c r="A307" s="7" t="s">
        <v>1537</v>
      </c>
      <c r="B307" s="2" t="s">
        <v>1538</v>
      </c>
      <c r="C307" s="8" t="s">
        <v>1539</v>
      </c>
      <c r="D307" s="2" t="s">
        <v>1540</v>
      </c>
      <c r="E307" s="2" t="s">
        <v>1541</v>
      </c>
      <c r="F307" s="9" t="s">
        <v>1538</v>
      </c>
      <c r="G307" s="8" t="str">
        <f t="shared" ca="1" si="13"/>
        <v>Nächster</v>
      </c>
      <c r="H307" s="10" t="str">
        <f t="shared" ca="1" si="14"/>
        <v>Sonraki</v>
      </c>
      <c r="I307" s="1" t="s">
        <v>2808</v>
      </c>
    </row>
    <row r="308" spans="1:9" ht="16.5">
      <c r="A308" s="7" t="s">
        <v>1542</v>
      </c>
      <c r="B308" s="2" t="s">
        <v>1543</v>
      </c>
      <c r="C308" s="8" t="s">
        <v>1544</v>
      </c>
      <c r="D308" s="2" t="s">
        <v>1545</v>
      </c>
      <c r="E308" s="2" t="s">
        <v>1546</v>
      </c>
      <c r="F308" s="9" t="s">
        <v>1547</v>
      </c>
      <c r="G308" s="8" t="str">
        <f t="shared" ca="1" si="13"/>
        <v>Nächster</v>
      </c>
      <c r="H308" s="10" t="str">
        <f t="shared" ca="1" si="14"/>
        <v>Sonraki</v>
      </c>
      <c r="I308" s="1" t="s">
        <v>2810</v>
      </c>
    </row>
    <row r="309" spans="1:9" ht="16.5">
      <c r="A309" s="7" t="s">
        <v>2811</v>
      </c>
      <c r="B309" s="2" t="s">
        <v>1548</v>
      </c>
      <c r="C309" s="8" t="s">
        <v>1549</v>
      </c>
      <c r="D309" s="2" t="s">
        <v>1550</v>
      </c>
      <c r="E309" s="2" t="s">
        <v>1551</v>
      </c>
      <c r="F309" s="9" t="s">
        <v>1552</v>
      </c>
      <c r="G309" s="8" t="str">
        <f t="shared" ca="1" si="13"/>
        <v>Nächster</v>
      </c>
      <c r="H309" s="10" t="str">
        <f t="shared" ca="1" si="14"/>
        <v>Sonraki</v>
      </c>
      <c r="I309" s="1" t="s">
        <v>2812</v>
      </c>
    </row>
    <row r="310" spans="1:9" ht="16.5">
      <c r="A310" s="7" t="s">
        <v>1553</v>
      </c>
      <c r="B310" s="2" t="s">
        <v>1554</v>
      </c>
      <c r="C310" s="8" t="s">
        <v>1555</v>
      </c>
      <c r="D310" s="2" t="s">
        <v>1556</v>
      </c>
      <c r="E310" s="2" t="s">
        <v>1557</v>
      </c>
      <c r="F310" s="9" t="s">
        <v>1558</v>
      </c>
      <c r="G310" s="8" t="str">
        <f t="shared" ca="1" si="13"/>
        <v>Nächster</v>
      </c>
      <c r="H310" s="10" t="str">
        <f t="shared" ca="1" si="14"/>
        <v>Sonraki</v>
      </c>
      <c r="I310" s="1" t="s">
        <v>2813</v>
      </c>
    </row>
    <row r="311" spans="1:9" ht="16.5">
      <c r="A311" s="7" t="s">
        <v>1559</v>
      </c>
      <c r="B311" s="2" t="s">
        <v>1560</v>
      </c>
      <c r="C311" s="8" t="s">
        <v>1561</v>
      </c>
      <c r="D311" s="2" t="s">
        <v>1562</v>
      </c>
      <c r="E311" s="2" t="s">
        <v>1563</v>
      </c>
      <c r="F311" s="9" t="s">
        <v>1564</v>
      </c>
      <c r="G311" s="8" t="str">
        <f t="shared" ca="1" si="13"/>
        <v>Nächster</v>
      </c>
      <c r="H311" s="10" t="str">
        <f t="shared" ca="1" si="14"/>
        <v>Sonraki</v>
      </c>
      <c r="I311" s="1" t="s">
        <v>2814</v>
      </c>
    </row>
    <row r="312" spans="1:9" ht="16.5">
      <c r="A312" s="7" t="s">
        <v>1565</v>
      </c>
      <c r="B312" s="2" t="s">
        <v>1566</v>
      </c>
      <c r="C312" s="8" t="s">
        <v>1567</v>
      </c>
      <c r="D312" s="2" t="s">
        <v>1568</v>
      </c>
      <c r="E312" s="2" t="s">
        <v>1569</v>
      </c>
      <c r="F312" s="9" t="s">
        <v>1570</v>
      </c>
      <c r="G312" s="8" t="str">
        <f t="shared" ca="1" si="13"/>
        <v>Nächster</v>
      </c>
      <c r="H312" s="10" t="str">
        <f t="shared" ca="1" si="14"/>
        <v>Sonraki</v>
      </c>
      <c r="I312" s="1" t="s">
        <v>2815</v>
      </c>
    </row>
    <row r="313" spans="1:9" ht="16.5">
      <c r="A313" s="7" t="s">
        <v>1571</v>
      </c>
      <c r="B313" s="2" t="s">
        <v>1572</v>
      </c>
      <c r="C313" s="8" t="s">
        <v>1573</v>
      </c>
      <c r="D313" s="2" t="s">
        <v>1574</v>
      </c>
      <c r="E313" s="2" t="s">
        <v>1575</v>
      </c>
      <c r="F313" s="9" t="s">
        <v>1576</v>
      </c>
      <c r="G313" s="8" t="str">
        <f t="shared" ca="1" si="13"/>
        <v>Nächster</v>
      </c>
      <c r="H313" s="10" t="str">
        <f t="shared" ca="1" si="14"/>
        <v>Sonraki</v>
      </c>
      <c r="I313" s="1" t="s">
        <v>2816</v>
      </c>
    </row>
    <row r="314" spans="1:9" ht="16.5">
      <c r="A314" s="7" t="s">
        <v>1577</v>
      </c>
      <c r="B314" s="2" t="s">
        <v>1578</v>
      </c>
      <c r="C314" s="8" t="s">
        <v>1579</v>
      </c>
      <c r="D314" s="2" t="s">
        <v>1580</v>
      </c>
      <c r="E314" s="2" t="s">
        <v>1581</v>
      </c>
      <c r="F314" s="9" t="s">
        <v>1582</v>
      </c>
      <c r="G314" s="8" t="str">
        <f t="shared" ca="1" si="13"/>
        <v>Nächster</v>
      </c>
      <c r="H314" s="10" t="str">
        <f t="shared" ca="1" si="14"/>
        <v>Sonraki</v>
      </c>
      <c r="I314" s="1" t="s">
        <v>2817</v>
      </c>
    </row>
    <row r="315" spans="1:9" ht="16.5">
      <c r="A315" s="7" t="s">
        <v>1583</v>
      </c>
      <c r="B315" s="2" t="s">
        <v>1584</v>
      </c>
      <c r="C315" s="8" t="s">
        <v>1585</v>
      </c>
      <c r="D315" s="2" t="s">
        <v>1586</v>
      </c>
      <c r="E315" s="2" t="s">
        <v>1587</v>
      </c>
      <c r="F315" s="9" t="s">
        <v>1584</v>
      </c>
      <c r="G315" s="8" t="str">
        <f t="shared" ca="1" si="13"/>
        <v>Nächster</v>
      </c>
      <c r="H315" s="10" t="str">
        <f t="shared" ca="1" si="14"/>
        <v>Sonraki</v>
      </c>
      <c r="I315" s="1" t="s">
        <v>2818</v>
      </c>
    </row>
    <row r="316" spans="1:9" ht="16.5">
      <c r="A316" s="7" t="s">
        <v>1588</v>
      </c>
      <c r="B316" s="2" t="s">
        <v>1589</v>
      </c>
      <c r="C316" s="8" t="s">
        <v>1590</v>
      </c>
      <c r="D316" s="2" t="s">
        <v>1591</v>
      </c>
      <c r="E316" s="2" t="s">
        <v>1592</v>
      </c>
      <c r="F316" s="9" t="s">
        <v>1593</v>
      </c>
      <c r="G316" s="8" t="str">
        <f t="shared" ca="1" si="13"/>
        <v>Nächster</v>
      </c>
      <c r="H316" s="10" t="str">
        <f t="shared" ca="1" si="14"/>
        <v>Sonraki</v>
      </c>
      <c r="I316" s="1" t="s">
        <v>2819</v>
      </c>
    </row>
    <row r="317" spans="1:9" ht="16.5">
      <c r="A317" s="7" t="s">
        <v>1594</v>
      </c>
      <c r="B317" s="2" t="s">
        <v>1595</v>
      </c>
      <c r="C317" s="8" t="s">
        <v>1596</v>
      </c>
      <c r="D317" s="2" t="s">
        <v>1597</v>
      </c>
      <c r="E317" s="2" t="s">
        <v>1598</v>
      </c>
      <c r="F317" s="9" t="s">
        <v>1599</v>
      </c>
      <c r="G317" s="8" t="str">
        <f t="shared" ca="1" si="13"/>
        <v>Nächster</v>
      </c>
      <c r="H317" s="10" t="str">
        <f t="shared" ca="1" si="14"/>
        <v>Sonraki</v>
      </c>
      <c r="I317" s="1" t="s">
        <v>2820</v>
      </c>
    </row>
    <row r="318" spans="1:9" ht="16.5">
      <c r="A318" s="7" t="s">
        <v>1600</v>
      </c>
      <c r="B318" s="2" t="s">
        <v>1601</v>
      </c>
      <c r="C318" s="8" t="s">
        <v>1602</v>
      </c>
      <c r="D318" s="2" t="s">
        <v>1603</v>
      </c>
      <c r="E318" s="2" t="s">
        <v>1604</v>
      </c>
      <c r="F318" s="9" t="s">
        <v>1605</v>
      </c>
      <c r="G318" s="8" t="str">
        <f t="shared" ca="1" si="13"/>
        <v>Nächster</v>
      </c>
      <c r="H318" s="10" t="str">
        <f t="shared" ca="1" si="14"/>
        <v>Sonraki</v>
      </c>
      <c r="I318" s="1" t="s">
        <v>2821</v>
      </c>
    </row>
    <row r="319" spans="1:9" ht="16.5">
      <c r="A319" s="7" t="s">
        <v>1606</v>
      </c>
      <c r="B319" s="2" t="s">
        <v>1607</v>
      </c>
      <c r="C319" s="8" t="s">
        <v>1608</v>
      </c>
      <c r="D319" s="2" t="s">
        <v>1609</v>
      </c>
      <c r="E319" s="2" t="s">
        <v>1610</v>
      </c>
      <c r="F319" s="9" t="s">
        <v>1611</v>
      </c>
      <c r="G319" s="8" t="str">
        <f t="shared" ca="1" si="13"/>
        <v>Nächster</v>
      </c>
      <c r="H319" s="10" t="str">
        <f t="shared" ca="1" si="14"/>
        <v>Sonraki</v>
      </c>
      <c r="I319" s="1" t="s">
        <v>2822</v>
      </c>
    </row>
    <row r="320" spans="1:9" ht="16.5">
      <c r="A320" s="7" t="s">
        <v>1612</v>
      </c>
      <c r="B320" s="2" t="s">
        <v>2823</v>
      </c>
      <c r="C320" s="8" t="s">
        <v>1613</v>
      </c>
      <c r="D320" s="2" t="s">
        <v>1614</v>
      </c>
      <c r="E320" s="2" t="s">
        <v>1615</v>
      </c>
      <c r="F320" s="9" t="s">
        <v>1616</v>
      </c>
      <c r="G320" s="8" t="str">
        <f t="shared" ca="1" si="13"/>
        <v>Nächster</v>
      </c>
      <c r="H320" s="10" t="str">
        <f t="shared" ca="1" si="14"/>
        <v>Sonraki</v>
      </c>
      <c r="I320" s="1" t="s">
        <v>2824</v>
      </c>
    </row>
    <row r="321" spans="1:9" ht="16.5">
      <c r="A321" s="7" t="s">
        <v>1617</v>
      </c>
      <c r="B321" s="2" t="s">
        <v>1618</v>
      </c>
      <c r="C321" s="8" t="s">
        <v>1619</v>
      </c>
      <c r="D321" s="2" t="s">
        <v>1620</v>
      </c>
      <c r="E321" s="2" t="s">
        <v>1621</v>
      </c>
      <c r="F321" s="9" t="s">
        <v>1622</v>
      </c>
      <c r="G321" s="8" t="str">
        <f t="shared" ca="1" si="13"/>
        <v>Nächster</v>
      </c>
      <c r="H321" s="10" t="str">
        <f t="shared" ca="1" si="14"/>
        <v>Sonraki</v>
      </c>
      <c r="I321" s="1" t="s">
        <v>2825</v>
      </c>
    </row>
    <row r="322" spans="1:9" ht="331.5">
      <c r="A322" s="7" t="s">
        <v>1623</v>
      </c>
      <c r="B322" s="2" t="s">
        <v>1624</v>
      </c>
      <c r="C322" s="11" t="s">
        <v>1625</v>
      </c>
      <c r="D322" s="2" t="s">
        <v>1626</v>
      </c>
      <c r="E322" s="2" t="s">
        <v>1627</v>
      </c>
      <c r="F322" s="27" t="s">
        <v>1628</v>
      </c>
      <c r="G322" s="8" t="str">
        <f t="shared" ca="1" si="13"/>
        <v>Nächster</v>
      </c>
      <c r="H322" s="10" t="str">
        <f t="shared" ca="1" si="14"/>
        <v>Sonraki</v>
      </c>
      <c r="I322" s="1" t="s">
        <v>2935</v>
      </c>
    </row>
    <row r="323" spans="1:9" ht="375">
      <c r="A323" s="7" t="s">
        <v>1629</v>
      </c>
      <c r="B323" s="3" t="s">
        <v>1630</v>
      </c>
      <c r="C323" s="28" t="s">
        <v>1631</v>
      </c>
      <c r="D323" s="2" t="s">
        <v>1632</v>
      </c>
      <c r="E323" s="2" t="s">
        <v>1633</v>
      </c>
      <c r="F323" s="9" t="s">
        <v>1634</v>
      </c>
      <c r="G323" s="8" t="str">
        <f t="shared" ca="1" si="13"/>
        <v>Nächster</v>
      </c>
      <c r="H323" s="10" t="str">
        <f t="shared" ca="1" si="14"/>
        <v>Sonraki</v>
      </c>
      <c r="I323" s="1" t="s">
        <v>2930</v>
      </c>
    </row>
    <row r="324" spans="1:9" ht="409.5">
      <c r="A324" s="7" t="s">
        <v>1635</v>
      </c>
      <c r="B324" s="2" t="s">
        <v>1636</v>
      </c>
      <c r="C324" s="11" t="s">
        <v>1637</v>
      </c>
      <c r="D324" s="2" t="s">
        <v>1638</v>
      </c>
      <c r="E324" s="2" t="s">
        <v>1639</v>
      </c>
      <c r="F324" s="27" t="s">
        <v>1640</v>
      </c>
      <c r="G324" s="8" t="str">
        <f t="shared" ca="1" si="13"/>
        <v>Nächster</v>
      </c>
      <c r="H324" s="10" t="str">
        <f t="shared" ca="1" si="14"/>
        <v>Sonraki</v>
      </c>
      <c r="I324" s="1" t="s">
        <v>2936</v>
      </c>
    </row>
    <row r="325" spans="1:9" ht="344.25">
      <c r="A325" s="7" t="s">
        <v>1641</v>
      </c>
      <c r="B325" s="2" t="s">
        <v>1642</v>
      </c>
      <c r="C325" s="11" t="s">
        <v>1643</v>
      </c>
      <c r="D325" s="2" t="s">
        <v>1644</v>
      </c>
      <c r="E325" s="2" t="s">
        <v>1645</v>
      </c>
      <c r="F325" s="27" t="s">
        <v>1646</v>
      </c>
      <c r="G325" s="8" t="str">
        <f t="shared" ca="1" si="13"/>
        <v>Nächster</v>
      </c>
      <c r="H325" s="10" t="str">
        <f t="shared" ca="1" si="14"/>
        <v>Sonraki</v>
      </c>
      <c r="I325" s="1" t="s">
        <v>2931</v>
      </c>
    </row>
    <row r="326" spans="1:9" ht="267.75">
      <c r="A326" s="7" t="s">
        <v>1647</v>
      </c>
      <c r="B326" s="2" t="s">
        <v>1648</v>
      </c>
      <c r="C326" s="11" t="s">
        <v>1649</v>
      </c>
      <c r="D326" s="2" t="s">
        <v>1650</v>
      </c>
      <c r="E326" s="2" t="s">
        <v>1651</v>
      </c>
      <c r="F326" s="27" t="s">
        <v>1652</v>
      </c>
      <c r="G326" s="8" t="str">
        <f t="shared" ca="1" si="13"/>
        <v>Nächster</v>
      </c>
      <c r="H326" s="10" t="str">
        <f t="shared" ca="1" si="14"/>
        <v>Sonraki</v>
      </c>
      <c r="I326" s="1" t="s">
        <v>2932</v>
      </c>
    </row>
    <row r="327" spans="1:9" ht="191.25">
      <c r="A327" s="7" t="s">
        <v>1653</v>
      </c>
      <c r="B327" s="2" t="s">
        <v>1654</v>
      </c>
      <c r="C327" s="11" t="s">
        <v>1655</v>
      </c>
      <c r="D327" s="2" t="s">
        <v>1656</v>
      </c>
      <c r="E327" s="2" t="s">
        <v>1657</v>
      </c>
      <c r="F327" s="27" t="s">
        <v>1658</v>
      </c>
      <c r="G327" s="8" t="str">
        <f t="shared" ca="1" si="13"/>
        <v>Nächster</v>
      </c>
      <c r="H327" s="10" t="str">
        <f t="shared" ca="1" si="14"/>
        <v>Sonraki</v>
      </c>
      <c r="I327" s="1" t="s">
        <v>2937</v>
      </c>
    </row>
    <row r="328" spans="1:9" ht="178.5">
      <c r="A328" s="7" t="s">
        <v>1659</v>
      </c>
      <c r="B328" s="2" t="s">
        <v>1660</v>
      </c>
      <c r="C328" s="11" t="s">
        <v>1661</v>
      </c>
      <c r="D328" s="2" t="s">
        <v>1662</v>
      </c>
      <c r="E328" s="2" t="s">
        <v>1663</v>
      </c>
      <c r="F328" s="27" t="s">
        <v>1664</v>
      </c>
      <c r="G328" s="8" t="str">
        <f t="shared" ca="1" si="13"/>
        <v>Nächster</v>
      </c>
      <c r="H328" s="10" t="str">
        <f t="shared" ca="1" si="14"/>
        <v>Sonraki</v>
      </c>
      <c r="I328" s="1" t="s">
        <v>2938</v>
      </c>
    </row>
    <row r="329" spans="1:9" ht="229.5">
      <c r="A329" s="7" t="s">
        <v>1665</v>
      </c>
      <c r="B329" s="2" t="s">
        <v>1666</v>
      </c>
      <c r="C329" s="11" t="s">
        <v>1667</v>
      </c>
      <c r="D329" s="2" t="s">
        <v>1668</v>
      </c>
      <c r="E329" s="2" t="s">
        <v>1669</v>
      </c>
      <c r="F329" s="27" t="s">
        <v>1670</v>
      </c>
      <c r="G329" s="8" t="str">
        <f t="shared" ca="1" si="13"/>
        <v>Nächster</v>
      </c>
      <c r="H329" s="10" t="str">
        <f t="shared" ca="1" si="14"/>
        <v>Sonraki</v>
      </c>
      <c r="I329" s="1" t="s">
        <v>2939</v>
      </c>
    </row>
    <row r="330" spans="1:9" ht="267.75">
      <c r="A330" s="7" t="s">
        <v>1671</v>
      </c>
      <c r="B330" s="2" t="s">
        <v>1672</v>
      </c>
      <c r="C330" s="11" t="s">
        <v>1673</v>
      </c>
      <c r="D330" s="2" t="s">
        <v>1674</v>
      </c>
      <c r="E330" s="2" t="s">
        <v>1675</v>
      </c>
      <c r="F330" s="27" t="s">
        <v>1676</v>
      </c>
      <c r="G330" s="8" t="str">
        <f t="shared" ca="1" si="13"/>
        <v>Nächster</v>
      </c>
      <c r="H330" s="10" t="str">
        <f t="shared" ca="1" si="14"/>
        <v>Sonraki</v>
      </c>
      <c r="I330" s="1" t="s">
        <v>2940</v>
      </c>
    </row>
    <row r="331" spans="1:9" ht="229.5">
      <c r="A331" s="7" t="s">
        <v>1677</v>
      </c>
      <c r="B331" s="2" t="s">
        <v>1678</v>
      </c>
      <c r="C331" s="11" t="s">
        <v>1679</v>
      </c>
      <c r="D331" s="2" t="s">
        <v>1680</v>
      </c>
      <c r="E331" s="2" t="s">
        <v>1681</v>
      </c>
      <c r="F331" s="27" t="s">
        <v>1682</v>
      </c>
      <c r="G331" s="8" t="str">
        <f t="shared" ca="1" si="13"/>
        <v>Nächster</v>
      </c>
      <c r="H331" s="10" t="str">
        <f t="shared" ca="1" si="14"/>
        <v>Sonraki</v>
      </c>
      <c r="I331" s="1" t="s">
        <v>2941</v>
      </c>
    </row>
    <row r="332" spans="1:9" ht="191.25">
      <c r="A332" s="7" t="s">
        <v>1683</v>
      </c>
      <c r="B332" s="2" t="s">
        <v>1684</v>
      </c>
      <c r="C332" s="11" t="s">
        <v>1685</v>
      </c>
      <c r="D332" s="2" t="s">
        <v>1686</v>
      </c>
      <c r="E332" s="2" t="s">
        <v>1687</v>
      </c>
      <c r="F332" s="9" t="s">
        <v>1688</v>
      </c>
      <c r="G332" s="8" t="str">
        <f t="shared" ca="1" si="13"/>
        <v>Nächster</v>
      </c>
      <c r="H332" s="10" t="str">
        <f t="shared" ca="1" si="14"/>
        <v>Sonraki</v>
      </c>
      <c r="I332" s="1" t="s">
        <v>2942</v>
      </c>
    </row>
    <row r="333" spans="1:9" ht="255">
      <c r="A333" s="7" t="s">
        <v>1689</v>
      </c>
      <c r="B333" s="2" t="s">
        <v>1690</v>
      </c>
      <c r="C333" s="11" t="s">
        <v>1691</v>
      </c>
      <c r="D333" s="2" t="s">
        <v>1692</v>
      </c>
      <c r="E333" s="2" t="s">
        <v>1693</v>
      </c>
      <c r="F333" s="27" t="s">
        <v>1694</v>
      </c>
      <c r="G333" s="8" t="str">
        <f t="shared" ca="1" si="13"/>
        <v>Nächster</v>
      </c>
      <c r="H333" s="10" t="str">
        <f t="shared" ca="1" si="14"/>
        <v>Sonraki</v>
      </c>
      <c r="I333" s="1" t="s">
        <v>2943</v>
      </c>
    </row>
    <row r="334" spans="1:9" ht="16.5">
      <c r="A334" s="7" t="s">
        <v>1695</v>
      </c>
      <c r="B334" s="2" t="s">
        <v>1696</v>
      </c>
      <c r="C334" s="2" t="s">
        <v>1697</v>
      </c>
      <c r="D334" s="2" t="s">
        <v>1698</v>
      </c>
      <c r="E334" s="2" t="s">
        <v>1699</v>
      </c>
      <c r="F334" s="9" t="s">
        <v>1700</v>
      </c>
      <c r="G334" s="8" t="str">
        <f t="shared" ca="1" si="13"/>
        <v>Nächster</v>
      </c>
      <c r="H334" s="10" t="str">
        <f t="shared" ca="1" si="14"/>
        <v>Sonraki</v>
      </c>
      <c r="I334" s="1" t="s">
        <v>2826</v>
      </c>
    </row>
    <row r="335" spans="1:9" ht="16.5">
      <c r="A335" s="7" t="s">
        <v>1701</v>
      </c>
      <c r="B335" s="2" t="s">
        <v>1702</v>
      </c>
      <c r="C335" s="8" t="s">
        <v>1703</v>
      </c>
      <c r="D335" s="2" t="s">
        <v>1704</v>
      </c>
      <c r="E335" s="2" t="s">
        <v>1705</v>
      </c>
      <c r="F335" s="9" t="s">
        <v>1706</v>
      </c>
      <c r="G335" s="8" t="str">
        <f t="shared" ca="1" si="13"/>
        <v>Nächster</v>
      </c>
      <c r="H335" s="10" t="str">
        <f t="shared" ca="1" si="14"/>
        <v>Sonraki</v>
      </c>
      <c r="I335" s="1" t="s">
        <v>2827</v>
      </c>
    </row>
    <row r="336" spans="1:9" ht="16.5">
      <c r="A336" s="7" t="s">
        <v>1707</v>
      </c>
      <c r="B336" s="2" t="s">
        <v>1708</v>
      </c>
      <c r="C336" s="8" t="s">
        <v>1709</v>
      </c>
      <c r="D336" s="2" t="s">
        <v>1710</v>
      </c>
      <c r="E336" s="2" t="s">
        <v>1711</v>
      </c>
      <c r="F336" s="9" t="s">
        <v>1712</v>
      </c>
      <c r="G336" s="8" t="str">
        <f t="shared" ca="1" si="13"/>
        <v>Nächster</v>
      </c>
      <c r="H336" s="10" t="str">
        <f t="shared" ca="1" si="14"/>
        <v>Sonraki</v>
      </c>
      <c r="I336" s="1" t="s">
        <v>2828</v>
      </c>
    </row>
    <row r="337" spans="1:9" ht="16.5">
      <c r="A337" s="7" t="s">
        <v>1713</v>
      </c>
      <c r="B337" s="2" t="s">
        <v>1714</v>
      </c>
      <c r="C337" s="8" t="s">
        <v>1715</v>
      </c>
      <c r="D337" s="2" t="s">
        <v>1716</v>
      </c>
      <c r="E337" s="2" t="s">
        <v>1717</v>
      </c>
      <c r="F337" s="9" t="s">
        <v>1718</v>
      </c>
      <c r="G337" s="8" t="str">
        <f t="shared" ca="1" si="13"/>
        <v>Nächster</v>
      </c>
      <c r="H337" s="10" t="str">
        <f t="shared" ca="1" si="14"/>
        <v>Sonraki</v>
      </c>
      <c r="I337" s="1" t="s">
        <v>2829</v>
      </c>
    </row>
    <row r="338" spans="1:9" ht="16.5">
      <c r="A338" s="7" t="s">
        <v>1719</v>
      </c>
      <c r="B338" s="2" t="s">
        <v>1720</v>
      </c>
      <c r="C338" s="8" t="s">
        <v>1721</v>
      </c>
      <c r="D338" s="2" t="s">
        <v>1722</v>
      </c>
      <c r="E338" s="2" t="s">
        <v>1723</v>
      </c>
      <c r="F338" s="9" t="s">
        <v>1724</v>
      </c>
      <c r="G338" s="8" t="str">
        <f t="shared" ca="1" si="13"/>
        <v>Nächster</v>
      </c>
      <c r="H338" s="10" t="str">
        <f t="shared" ca="1" si="14"/>
        <v>Sonraki</v>
      </c>
      <c r="I338" s="1" t="s">
        <v>2830</v>
      </c>
    </row>
    <row r="339" spans="1:9" ht="16.5">
      <c r="A339" s="7" t="s">
        <v>1725</v>
      </c>
      <c r="B339" s="2" t="s">
        <v>1726</v>
      </c>
      <c r="C339" s="8" t="s">
        <v>1727</v>
      </c>
      <c r="D339" s="2" t="s">
        <v>1728</v>
      </c>
      <c r="E339" s="2" t="s">
        <v>1729</v>
      </c>
      <c r="F339" s="9" t="s">
        <v>1730</v>
      </c>
      <c r="G339" s="8" t="str">
        <f t="shared" ca="1" si="13"/>
        <v>Nächster</v>
      </c>
      <c r="H339" s="10" t="str">
        <f t="shared" ca="1" si="14"/>
        <v>Sonraki</v>
      </c>
      <c r="I339" s="1" t="s">
        <v>2831</v>
      </c>
    </row>
    <row r="340" spans="1:9" ht="16.5">
      <c r="A340" s="7" t="s">
        <v>1731</v>
      </c>
      <c r="B340" s="2" t="s">
        <v>1732</v>
      </c>
      <c r="C340" s="8" t="s">
        <v>1733</v>
      </c>
      <c r="D340" s="2" t="s">
        <v>1734</v>
      </c>
      <c r="E340" s="2" t="s">
        <v>1735</v>
      </c>
      <c r="F340" s="9" t="s">
        <v>1736</v>
      </c>
      <c r="G340" s="8" t="str">
        <f t="shared" ca="1" si="13"/>
        <v>Nächster</v>
      </c>
      <c r="H340" s="10" t="str">
        <f t="shared" ca="1" si="14"/>
        <v>Sonraki</v>
      </c>
      <c r="I340" s="1" t="s">
        <v>2832</v>
      </c>
    </row>
    <row r="341" spans="1:9" ht="16.5">
      <c r="A341" s="7" t="s">
        <v>1737</v>
      </c>
      <c r="B341" s="2" t="s">
        <v>1738</v>
      </c>
      <c r="C341" s="8" t="s">
        <v>1739</v>
      </c>
      <c r="D341" s="2" t="s">
        <v>1740</v>
      </c>
      <c r="E341" s="2" t="s">
        <v>1741</v>
      </c>
      <c r="F341" s="9" t="s">
        <v>1742</v>
      </c>
      <c r="G341" s="8" t="str">
        <f t="shared" ca="1" si="13"/>
        <v>Nächster</v>
      </c>
      <c r="H341" s="10" t="str">
        <f t="shared" ca="1" si="14"/>
        <v>Sonraki</v>
      </c>
      <c r="I341" s="1" t="s">
        <v>2833</v>
      </c>
    </row>
    <row r="342" spans="1:9" ht="16.5">
      <c r="A342" s="7" t="s">
        <v>1743</v>
      </c>
      <c r="B342" s="2" t="s">
        <v>1744</v>
      </c>
      <c r="C342" s="8" t="s">
        <v>1745</v>
      </c>
      <c r="D342" s="2" t="s">
        <v>1746</v>
      </c>
      <c r="E342" s="2" t="s">
        <v>1747</v>
      </c>
      <c r="F342" s="9" t="s">
        <v>1744</v>
      </c>
      <c r="G342" s="8" t="str">
        <f t="shared" ca="1" si="13"/>
        <v>Nächster</v>
      </c>
      <c r="H342" s="10" t="str">
        <f t="shared" ca="1" si="14"/>
        <v>Sonraki</v>
      </c>
      <c r="I342" s="1" t="s">
        <v>2834</v>
      </c>
    </row>
    <row r="343" spans="1:9" ht="16.5">
      <c r="A343" s="7" t="s">
        <v>1748</v>
      </c>
      <c r="B343" s="2" t="s">
        <v>1749</v>
      </c>
      <c r="C343" s="8" t="s">
        <v>1750</v>
      </c>
      <c r="D343" s="2" t="s">
        <v>1751</v>
      </c>
      <c r="E343" s="2" t="s">
        <v>1752</v>
      </c>
      <c r="F343" s="9" t="s">
        <v>1753</v>
      </c>
      <c r="G343" s="8" t="str">
        <f t="shared" ca="1" si="13"/>
        <v>Nächster</v>
      </c>
      <c r="H343" s="10" t="str">
        <f t="shared" ca="1" si="14"/>
        <v>Sonraki</v>
      </c>
      <c r="I343" s="1" t="s">
        <v>2835</v>
      </c>
    </row>
    <row r="344" spans="1:9" ht="16.5">
      <c r="A344" s="7" t="s">
        <v>1754</v>
      </c>
      <c r="B344" s="2" t="s">
        <v>1755</v>
      </c>
      <c r="C344" s="8" t="s">
        <v>1756</v>
      </c>
      <c r="D344" s="2" t="s">
        <v>1755</v>
      </c>
      <c r="E344" s="2" t="s">
        <v>1755</v>
      </c>
      <c r="F344" s="9" t="s">
        <v>1757</v>
      </c>
      <c r="G344" s="8" t="str">
        <f t="shared" ca="1" si="13"/>
        <v>Nächster</v>
      </c>
      <c r="H344" s="10" t="str">
        <f t="shared" ca="1" si="14"/>
        <v>Sonraki</v>
      </c>
      <c r="I344" s="1" t="s">
        <v>2836</v>
      </c>
    </row>
    <row r="345" spans="1:9" ht="16.5">
      <c r="A345" s="7" t="s">
        <v>1758</v>
      </c>
      <c r="B345" s="2" t="s">
        <v>1759</v>
      </c>
      <c r="C345" s="8" t="s">
        <v>1760</v>
      </c>
      <c r="D345" s="2" t="s">
        <v>1761</v>
      </c>
      <c r="E345" s="2" t="s">
        <v>1762</v>
      </c>
      <c r="F345" s="9" t="s">
        <v>1763</v>
      </c>
      <c r="G345" s="8" t="str">
        <f t="shared" ca="1" si="13"/>
        <v>Nächster</v>
      </c>
      <c r="H345" s="10" t="str">
        <f t="shared" ca="1" si="14"/>
        <v>Sonraki</v>
      </c>
      <c r="I345" s="1" t="s">
        <v>2837</v>
      </c>
    </row>
    <row r="346" spans="1:9" ht="204">
      <c r="A346" s="7" t="s">
        <v>1764</v>
      </c>
      <c r="B346" s="2" t="s">
        <v>1765</v>
      </c>
      <c r="C346" s="11" t="s">
        <v>1766</v>
      </c>
      <c r="D346" s="2" t="s">
        <v>1767</v>
      </c>
      <c r="E346" s="2" t="s">
        <v>1768</v>
      </c>
      <c r="F346" s="9" t="s">
        <v>1769</v>
      </c>
      <c r="G346" s="8" t="str">
        <f t="shared" ca="1" si="13"/>
        <v>Nächster</v>
      </c>
      <c r="H346" s="10" t="str">
        <f t="shared" ca="1" si="14"/>
        <v>Sonraki</v>
      </c>
      <c r="I346" s="1" t="s">
        <v>2933</v>
      </c>
    </row>
    <row r="347" spans="1:9" ht="216.75">
      <c r="A347" s="7" t="s">
        <v>1770</v>
      </c>
      <c r="B347" s="2" t="s">
        <v>1771</v>
      </c>
      <c r="C347" s="11" t="s">
        <v>1772</v>
      </c>
      <c r="D347" s="2" t="s">
        <v>1773</v>
      </c>
      <c r="E347" s="2" t="s">
        <v>1774</v>
      </c>
      <c r="F347" s="27" t="s">
        <v>1775</v>
      </c>
      <c r="G347" s="8" t="str">
        <f t="shared" ca="1" si="13"/>
        <v>Nächster</v>
      </c>
      <c r="H347" s="10" t="str">
        <f t="shared" ca="1" si="14"/>
        <v>Sonraki</v>
      </c>
      <c r="I347" s="1" t="s">
        <v>2934</v>
      </c>
    </row>
    <row r="348" spans="1:9" ht="153">
      <c r="A348" s="7" t="s">
        <v>1776</v>
      </c>
      <c r="B348" s="2" t="s">
        <v>1777</v>
      </c>
      <c r="C348" s="11" t="s">
        <v>1778</v>
      </c>
      <c r="D348" s="2" t="s">
        <v>1779</v>
      </c>
      <c r="E348" s="2" t="s">
        <v>1780</v>
      </c>
      <c r="F348" s="27" t="s">
        <v>1781</v>
      </c>
      <c r="G348" s="8" t="str">
        <f t="shared" ca="1" si="13"/>
        <v>Nächster</v>
      </c>
      <c r="H348" s="10" t="str">
        <f t="shared" ca="1" si="14"/>
        <v>Sonraki</v>
      </c>
      <c r="I348" s="1" t="s">
        <v>2944</v>
      </c>
    </row>
    <row r="349" spans="1:9" ht="165.75">
      <c r="A349" s="7" t="s">
        <v>1782</v>
      </c>
      <c r="B349" s="2" t="s">
        <v>1783</v>
      </c>
      <c r="C349" s="11" t="s">
        <v>1784</v>
      </c>
      <c r="D349" s="2" t="s">
        <v>1785</v>
      </c>
      <c r="E349" s="2" t="s">
        <v>1786</v>
      </c>
      <c r="F349" s="27" t="s">
        <v>1787</v>
      </c>
      <c r="G349" s="8" t="str">
        <f t="shared" ca="1" si="13"/>
        <v>Nächster</v>
      </c>
      <c r="H349" s="10" t="str">
        <f t="shared" ca="1" si="14"/>
        <v>Sonraki</v>
      </c>
      <c r="I349" s="1" t="s">
        <v>2945</v>
      </c>
    </row>
    <row r="350" spans="1:9" ht="102">
      <c r="A350" s="7" t="s">
        <v>1788</v>
      </c>
      <c r="B350" s="2" t="s">
        <v>1789</v>
      </c>
      <c r="C350" s="11" t="s">
        <v>1790</v>
      </c>
      <c r="D350" s="2" t="s">
        <v>1791</v>
      </c>
      <c r="E350" s="2" t="s">
        <v>1792</v>
      </c>
      <c r="F350" s="27" t="s">
        <v>1793</v>
      </c>
      <c r="G350" s="8" t="str">
        <f t="shared" ca="1" si="13"/>
        <v>Nächster</v>
      </c>
      <c r="H350" s="10" t="str">
        <f t="shared" ca="1" si="14"/>
        <v>Sonraki</v>
      </c>
      <c r="I350" s="1" t="s">
        <v>2946</v>
      </c>
    </row>
    <row r="351" spans="1:9" ht="102">
      <c r="A351" s="7" t="s">
        <v>1794</v>
      </c>
      <c r="B351" s="2" t="s">
        <v>1795</v>
      </c>
      <c r="C351" s="11" t="s">
        <v>1796</v>
      </c>
      <c r="D351" s="2" t="s">
        <v>1797</v>
      </c>
      <c r="E351" s="2" t="s">
        <v>1798</v>
      </c>
      <c r="F351" s="27" t="s">
        <v>1799</v>
      </c>
      <c r="G351" s="8" t="str">
        <f t="shared" ca="1" si="13"/>
        <v>Nächster</v>
      </c>
      <c r="H351" s="10" t="str">
        <f t="shared" ca="1" si="14"/>
        <v>Sonraki</v>
      </c>
      <c r="I351" s="1" t="s">
        <v>2947</v>
      </c>
    </row>
    <row r="352" spans="1:9" ht="140.25">
      <c r="A352" s="7" t="s">
        <v>1800</v>
      </c>
      <c r="B352" s="2" t="s">
        <v>1801</v>
      </c>
      <c r="C352" s="11" t="s">
        <v>1802</v>
      </c>
      <c r="D352" s="2" t="s">
        <v>1803</v>
      </c>
      <c r="E352" s="2" t="s">
        <v>1804</v>
      </c>
      <c r="F352" s="27" t="s">
        <v>1805</v>
      </c>
      <c r="G352" s="8" t="str">
        <f t="shared" ca="1" si="13"/>
        <v>Nächster</v>
      </c>
      <c r="H352" s="10" t="str">
        <f t="shared" ca="1" si="14"/>
        <v>Sonraki</v>
      </c>
      <c r="I352" s="1" t="s">
        <v>2952</v>
      </c>
    </row>
    <row r="353" spans="1:9" ht="191.25">
      <c r="A353" s="7" t="s">
        <v>1806</v>
      </c>
      <c r="B353" s="2" t="s">
        <v>1807</v>
      </c>
      <c r="C353" s="8" t="s">
        <v>1808</v>
      </c>
      <c r="D353" s="2" t="s">
        <v>1809</v>
      </c>
      <c r="E353" s="2" t="s">
        <v>1810</v>
      </c>
      <c r="F353" s="27" t="s">
        <v>1811</v>
      </c>
      <c r="G353" s="8" t="str">
        <f t="shared" ca="1" si="13"/>
        <v>Nächster</v>
      </c>
      <c r="H353" s="10" t="str">
        <f t="shared" ca="1" si="14"/>
        <v>Sonraki</v>
      </c>
      <c r="I353" s="1" t="s">
        <v>2953</v>
      </c>
    </row>
    <row r="354" spans="1:9" ht="293.25">
      <c r="A354" s="7" t="s">
        <v>1812</v>
      </c>
      <c r="B354" s="2" t="s">
        <v>1813</v>
      </c>
      <c r="C354" s="11" t="s">
        <v>1814</v>
      </c>
      <c r="D354" s="2" t="s">
        <v>1815</v>
      </c>
      <c r="E354" s="2" t="s">
        <v>1816</v>
      </c>
      <c r="F354" s="27" t="s">
        <v>1817</v>
      </c>
      <c r="G354" s="8" t="str">
        <f t="shared" ca="1" si="13"/>
        <v>Nächster</v>
      </c>
      <c r="H354" s="10" t="str">
        <f t="shared" ca="1" si="14"/>
        <v>Sonraki</v>
      </c>
      <c r="I354" s="1" t="s">
        <v>2954</v>
      </c>
    </row>
    <row r="355" spans="1:9" ht="140.25">
      <c r="A355" s="7" t="s">
        <v>1818</v>
      </c>
      <c r="B355" s="2" t="s">
        <v>1819</v>
      </c>
      <c r="C355" s="11" t="s">
        <v>1820</v>
      </c>
      <c r="D355" s="2" t="s">
        <v>1821</v>
      </c>
      <c r="E355" s="2" t="s">
        <v>1822</v>
      </c>
      <c r="F355" s="27" t="s">
        <v>1823</v>
      </c>
      <c r="G355" s="8" t="str">
        <f t="shared" ca="1" si="13"/>
        <v>Nächster</v>
      </c>
      <c r="H355" s="10" t="str">
        <f t="shared" ca="1" si="14"/>
        <v>Sonraki</v>
      </c>
      <c r="I355" s="1" t="s">
        <v>2955</v>
      </c>
    </row>
    <row r="356" spans="1:9" ht="267.75">
      <c r="A356" s="7" t="s">
        <v>1824</v>
      </c>
      <c r="B356" s="2" t="s">
        <v>1825</v>
      </c>
      <c r="C356" s="8" t="s">
        <v>1826</v>
      </c>
      <c r="D356" s="2" t="s">
        <v>1827</v>
      </c>
      <c r="E356" s="2" t="s">
        <v>1828</v>
      </c>
      <c r="F356" s="27" t="s">
        <v>1829</v>
      </c>
      <c r="G356" s="8" t="str">
        <f t="shared" ca="1" si="13"/>
        <v>Nächster</v>
      </c>
      <c r="H356" s="10" t="str">
        <f t="shared" ca="1" si="14"/>
        <v>Sonraki</v>
      </c>
      <c r="I356" s="1" t="s">
        <v>3030</v>
      </c>
    </row>
    <row r="357" spans="1:9" ht="255">
      <c r="A357" s="7" t="s">
        <v>1830</v>
      </c>
      <c r="B357" s="2" t="s">
        <v>1831</v>
      </c>
      <c r="C357" s="11" t="s">
        <v>1832</v>
      </c>
      <c r="D357" s="2" t="s">
        <v>1833</v>
      </c>
      <c r="E357" s="2" t="s">
        <v>1834</v>
      </c>
      <c r="F357" s="27" t="s">
        <v>1835</v>
      </c>
      <c r="G357" s="8" t="str">
        <f t="shared" ca="1" si="13"/>
        <v>Nächster</v>
      </c>
      <c r="H357" s="10" t="str">
        <f t="shared" ca="1" si="14"/>
        <v>Sonraki</v>
      </c>
      <c r="I357" s="1" t="s">
        <v>2960</v>
      </c>
    </row>
    <row r="358" spans="1:9" ht="89.25">
      <c r="A358" s="7" t="s">
        <v>1836</v>
      </c>
      <c r="B358" s="2" t="s">
        <v>1837</v>
      </c>
      <c r="C358" s="11" t="s">
        <v>1838</v>
      </c>
      <c r="D358" s="2" t="s">
        <v>1839</v>
      </c>
      <c r="E358" s="2" t="s">
        <v>1840</v>
      </c>
      <c r="F358" s="9" t="s">
        <v>1841</v>
      </c>
      <c r="G358" s="8" t="str">
        <f t="shared" ca="1" si="13"/>
        <v>Nächster</v>
      </c>
      <c r="H358" s="10" t="str">
        <f t="shared" ca="1" si="14"/>
        <v>Sonraki</v>
      </c>
      <c r="I358" s="1" t="s">
        <v>2958</v>
      </c>
    </row>
    <row r="359" spans="1:9" ht="38.25">
      <c r="A359" s="7" t="s">
        <v>1842</v>
      </c>
      <c r="B359" s="2" t="s">
        <v>1843</v>
      </c>
      <c r="C359" s="8" t="s">
        <v>1844</v>
      </c>
      <c r="D359" s="2" t="s">
        <v>1845</v>
      </c>
      <c r="E359" s="2" t="s">
        <v>1846</v>
      </c>
      <c r="F359" s="9" t="s">
        <v>1847</v>
      </c>
      <c r="G359" s="8" t="str">
        <f t="shared" ca="1" si="13"/>
        <v>Nächster</v>
      </c>
      <c r="H359" s="10" t="str">
        <f t="shared" ca="1" si="14"/>
        <v>Sonraki</v>
      </c>
      <c r="I359" s="1" t="s">
        <v>2956</v>
      </c>
    </row>
    <row r="360" spans="1:9" ht="25.5">
      <c r="A360" s="7" t="s">
        <v>1848</v>
      </c>
      <c r="B360" s="2" t="s">
        <v>1849</v>
      </c>
      <c r="C360" s="8" t="s">
        <v>1850</v>
      </c>
      <c r="D360" s="2" t="s">
        <v>1851</v>
      </c>
      <c r="E360" s="2" t="s">
        <v>1852</v>
      </c>
      <c r="F360" s="9" t="s">
        <v>1853</v>
      </c>
      <c r="G360" s="8" t="str">
        <f t="shared" ca="1" si="13"/>
        <v>Nächster</v>
      </c>
      <c r="H360" s="10" t="str">
        <f t="shared" ca="1" si="14"/>
        <v>Sonraki</v>
      </c>
      <c r="I360" s="1" t="s">
        <v>2959</v>
      </c>
    </row>
    <row r="361" spans="1:9" ht="89.25">
      <c r="A361" s="7" t="s">
        <v>1854</v>
      </c>
      <c r="B361" s="2" t="s">
        <v>1855</v>
      </c>
      <c r="C361" s="8" t="s">
        <v>1856</v>
      </c>
      <c r="D361" s="2" t="s">
        <v>1857</v>
      </c>
      <c r="E361" s="2" t="s">
        <v>1858</v>
      </c>
      <c r="F361" s="9" t="s">
        <v>1859</v>
      </c>
      <c r="G361" s="8" t="str">
        <f t="shared" ca="1" si="13"/>
        <v>Nächster</v>
      </c>
      <c r="H361" s="10" t="str">
        <f t="shared" ca="1" si="14"/>
        <v>Sonraki</v>
      </c>
      <c r="I361" s="1" t="s">
        <v>2957</v>
      </c>
    </row>
    <row r="362" spans="1:9" ht="140.25">
      <c r="A362" s="7" t="s">
        <v>1860</v>
      </c>
      <c r="B362" s="2" t="s">
        <v>1861</v>
      </c>
      <c r="C362" s="8" t="s">
        <v>1862</v>
      </c>
      <c r="D362" s="2" t="s">
        <v>1863</v>
      </c>
      <c r="E362" s="2" t="s">
        <v>1864</v>
      </c>
      <c r="F362" s="9" t="s">
        <v>1865</v>
      </c>
      <c r="G362" s="8" t="str">
        <f t="shared" ca="1" si="13"/>
        <v>Nächster</v>
      </c>
      <c r="H362" s="10" t="str">
        <f t="shared" ca="1" si="14"/>
        <v>Sonraki</v>
      </c>
      <c r="I362" s="1" t="s">
        <v>2961</v>
      </c>
    </row>
    <row r="363" spans="1:9" ht="102">
      <c r="A363" s="7" t="s">
        <v>1866</v>
      </c>
      <c r="B363" s="2" t="s">
        <v>1867</v>
      </c>
      <c r="C363" s="8" t="s">
        <v>1868</v>
      </c>
      <c r="D363" s="2" t="s">
        <v>1869</v>
      </c>
      <c r="E363" s="2" t="s">
        <v>1870</v>
      </c>
      <c r="F363" s="9" t="s">
        <v>1871</v>
      </c>
      <c r="G363" s="8" t="str">
        <f t="shared" ca="1" si="13"/>
        <v>Nächster</v>
      </c>
      <c r="H363" s="10" t="str">
        <f t="shared" ca="1" si="14"/>
        <v>Sonraki</v>
      </c>
      <c r="I363" s="1" t="s">
        <v>2962</v>
      </c>
    </row>
    <row r="364" spans="1:9" ht="51">
      <c r="A364" s="7" t="s">
        <v>1872</v>
      </c>
      <c r="B364" s="2" t="s">
        <v>1873</v>
      </c>
      <c r="C364" s="8" t="s">
        <v>1874</v>
      </c>
      <c r="D364" s="2" t="s">
        <v>1875</v>
      </c>
      <c r="E364" s="2" t="s">
        <v>1876</v>
      </c>
      <c r="F364" s="27" t="s">
        <v>1877</v>
      </c>
      <c r="G364" s="8" t="str">
        <f t="shared" ca="1" si="13"/>
        <v>Nächster</v>
      </c>
      <c r="H364" s="10" t="str">
        <f t="shared" ca="1" si="14"/>
        <v>Sonraki</v>
      </c>
      <c r="I364" s="1" t="s">
        <v>2963</v>
      </c>
    </row>
    <row r="365" spans="1:9" ht="89.25">
      <c r="A365" s="7" t="s">
        <v>1878</v>
      </c>
      <c r="B365" s="2" t="s">
        <v>1879</v>
      </c>
      <c r="C365" s="8" t="s">
        <v>1880</v>
      </c>
      <c r="D365" s="2" t="s">
        <v>1881</v>
      </c>
      <c r="E365" s="2" t="s">
        <v>1882</v>
      </c>
      <c r="F365" s="27" t="s">
        <v>1883</v>
      </c>
      <c r="G365" s="8" t="str">
        <f t="shared" ca="1" si="13"/>
        <v>Nächster</v>
      </c>
      <c r="H365" s="10" t="str">
        <f t="shared" ca="1" si="14"/>
        <v>Sonraki</v>
      </c>
      <c r="I365" s="1" t="s">
        <v>2964</v>
      </c>
    </row>
    <row r="366" spans="1:9" ht="63.75">
      <c r="A366" s="7" t="s">
        <v>1884</v>
      </c>
      <c r="B366" s="2" t="s">
        <v>1885</v>
      </c>
      <c r="C366" s="8" t="s">
        <v>1886</v>
      </c>
      <c r="D366" s="2" t="s">
        <v>1887</v>
      </c>
      <c r="E366" s="2" t="s">
        <v>1888</v>
      </c>
      <c r="F366" s="27" t="s">
        <v>1889</v>
      </c>
      <c r="G366" s="8" t="str">
        <f t="shared" ca="1" si="13"/>
        <v>Nächster</v>
      </c>
      <c r="H366" s="10" t="str">
        <f t="shared" ca="1" si="14"/>
        <v>Sonraki</v>
      </c>
      <c r="I366" s="1" t="s">
        <v>2965</v>
      </c>
    </row>
    <row r="367" spans="1:9" ht="63.75">
      <c r="A367" s="7" t="s">
        <v>1890</v>
      </c>
      <c r="B367" s="2" t="s">
        <v>1891</v>
      </c>
      <c r="C367" s="8" t="s">
        <v>1892</v>
      </c>
      <c r="D367" s="2" t="s">
        <v>1893</v>
      </c>
      <c r="E367" s="2" t="s">
        <v>1894</v>
      </c>
      <c r="F367" s="27" t="s">
        <v>1895</v>
      </c>
      <c r="G367" s="8" t="str">
        <f t="shared" ca="1" si="13"/>
        <v>Nächster</v>
      </c>
      <c r="H367" s="10" t="str">
        <f t="shared" ca="1" si="14"/>
        <v>Sonraki</v>
      </c>
      <c r="I367" s="1" t="s">
        <v>2966</v>
      </c>
    </row>
    <row r="368" spans="1:9" ht="63.75">
      <c r="A368" s="7" t="s">
        <v>1896</v>
      </c>
      <c r="B368" s="2" t="s">
        <v>1897</v>
      </c>
      <c r="C368" s="8" t="s">
        <v>1898</v>
      </c>
      <c r="D368" s="2" t="s">
        <v>1899</v>
      </c>
      <c r="E368" s="2" t="s">
        <v>1900</v>
      </c>
      <c r="F368" s="27" t="s">
        <v>1901</v>
      </c>
      <c r="G368" s="8" t="str">
        <f t="shared" ca="1" si="13"/>
        <v>Nächster</v>
      </c>
      <c r="H368" s="10" t="str">
        <f t="shared" ca="1" si="14"/>
        <v>Sonraki</v>
      </c>
      <c r="I368" s="1" t="s">
        <v>2967</v>
      </c>
    </row>
    <row r="369" spans="1:9" ht="102">
      <c r="A369" s="7" t="s">
        <v>1902</v>
      </c>
      <c r="B369" s="2" t="s">
        <v>1903</v>
      </c>
      <c r="C369" s="8" t="s">
        <v>1904</v>
      </c>
      <c r="D369" s="2" t="s">
        <v>1905</v>
      </c>
      <c r="E369" s="2" t="s">
        <v>1906</v>
      </c>
      <c r="F369" s="27" t="s">
        <v>1907</v>
      </c>
      <c r="G369" s="8" t="str">
        <f t="shared" ca="1" si="13"/>
        <v>Nächster</v>
      </c>
      <c r="H369" s="10" t="str">
        <f t="shared" ca="1" si="14"/>
        <v>Sonraki</v>
      </c>
      <c r="I369" s="1" t="s">
        <v>2968</v>
      </c>
    </row>
    <row r="370" spans="1:9" ht="16.5">
      <c r="A370" s="7" t="s">
        <v>1908</v>
      </c>
      <c r="B370" s="2" t="s">
        <v>1909</v>
      </c>
      <c r="C370" s="8" t="s">
        <v>1910</v>
      </c>
      <c r="D370" s="2" t="s">
        <v>1911</v>
      </c>
      <c r="E370" s="2" t="s">
        <v>1912</v>
      </c>
      <c r="F370" s="9" t="s">
        <v>1913</v>
      </c>
      <c r="G370" s="8" t="str">
        <f t="shared" ca="1" si="13"/>
        <v>Nächster</v>
      </c>
      <c r="H370" s="10" t="str">
        <f t="shared" ca="1" si="14"/>
        <v>Sonraki</v>
      </c>
      <c r="I370" s="1" t="s">
        <v>2838</v>
      </c>
    </row>
    <row r="371" spans="1:9" ht="38.25">
      <c r="A371" s="7" t="s">
        <v>1914</v>
      </c>
      <c r="B371" s="2" t="s">
        <v>1915</v>
      </c>
      <c r="C371" s="8" t="s">
        <v>1916</v>
      </c>
      <c r="D371" s="2" t="s">
        <v>1917</v>
      </c>
      <c r="E371" s="2" t="s">
        <v>1918</v>
      </c>
      <c r="F371" s="9" t="s">
        <v>1919</v>
      </c>
      <c r="G371" s="8" t="str">
        <f t="shared" ca="1" si="13"/>
        <v>Nächster</v>
      </c>
      <c r="H371" s="10" t="str">
        <f t="shared" ca="1" si="14"/>
        <v>Sonraki</v>
      </c>
      <c r="I371" s="1" t="s">
        <v>2839</v>
      </c>
    </row>
    <row r="372" spans="1:9" ht="33">
      <c r="A372" s="7" t="s">
        <v>1920</v>
      </c>
      <c r="B372" s="2" t="s">
        <v>1921</v>
      </c>
      <c r="C372" s="8" t="s">
        <v>1922</v>
      </c>
      <c r="D372" s="2" t="s">
        <v>1923</v>
      </c>
      <c r="E372" s="2" t="s">
        <v>1924</v>
      </c>
      <c r="F372" s="9" t="s">
        <v>1925</v>
      </c>
      <c r="G372" s="8" t="str">
        <f t="shared" ca="1" si="13"/>
        <v>Nächster</v>
      </c>
      <c r="H372" s="10" t="str">
        <f t="shared" ca="1" si="14"/>
        <v>Sonraki</v>
      </c>
      <c r="I372" s="1" t="s">
        <v>2848</v>
      </c>
    </row>
    <row r="373" spans="1:9" ht="33">
      <c r="A373" s="7" t="s">
        <v>1926</v>
      </c>
      <c r="B373" s="2" t="s">
        <v>1927</v>
      </c>
      <c r="C373" s="8" t="s">
        <v>1928</v>
      </c>
      <c r="D373" s="2" t="s">
        <v>1929</v>
      </c>
      <c r="E373" s="2" t="s">
        <v>1930</v>
      </c>
      <c r="F373" s="9" t="s">
        <v>1931</v>
      </c>
      <c r="G373" s="8" t="str">
        <f t="shared" ca="1" si="13"/>
        <v>Nächster</v>
      </c>
      <c r="H373" s="10" t="str">
        <f t="shared" ca="1" si="14"/>
        <v>Sonraki</v>
      </c>
      <c r="I373" s="1" t="s">
        <v>2840</v>
      </c>
    </row>
    <row r="374" spans="1:9" ht="33">
      <c r="A374" s="7" t="s">
        <v>1932</v>
      </c>
      <c r="B374" s="2" t="s">
        <v>1933</v>
      </c>
      <c r="C374" s="8" t="s">
        <v>1934</v>
      </c>
      <c r="D374" s="2" t="s">
        <v>1935</v>
      </c>
      <c r="E374" s="2" t="s">
        <v>1936</v>
      </c>
      <c r="F374" s="9" t="s">
        <v>1937</v>
      </c>
      <c r="G374" s="8" t="str">
        <f t="shared" ca="1" si="13"/>
        <v>Nächster</v>
      </c>
      <c r="H374" s="10" t="str">
        <f t="shared" ca="1" si="14"/>
        <v>Sonraki</v>
      </c>
      <c r="I374" s="1" t="s">
        <v>2841</v>
      </c>
    </row>
    <row r="375" spans="1:9" ht="38.25">
      <c r="A375" s="7" t="s">
        <v>1938</v>
      </c>
      <c r="B375" s="2" t="s">
        <v>1939</v>
      </c>
      <c r="C375" s="8" t="s">
        <v>1940</v>
      </c>
      <c r="D375" s="2" t="s">
        <v>1941</v>
      </c>
      <c r="E375" s="2" t="s">
        <v>1942</v>
      </c>
      <c r="F375" s="9" t="s">
        <v>1943</v>
      </c>
      <c r="G375" s="8" t="str">
        <f t="shared" ca="1" si="13"/>
        <v>Nächster</v>
      </c>
      <c r="H375" s="10" t="str">
        <f t="shared" ca="1" si="14"/>
        <v>Sonraki</v>
      </c>
      <c r="I375" s="1" t="s">
        <v>2842</v>
      </c>
    </row>
    <row r="376" spans="1:9" ht="16.5">
      <c r="A376" s="7" t="s">
        <v>1944</v>
      </c>
      <c r="B376" s="2" t="s">
        <v>1945</v>
      </c>
      <c r="C376" s="8" t="s">
        <v>1946</v>
      </c>
      <c r="D376" s="2" t="s">
        <v>1947</v>
      </c>
      <c r="E376" s="2" t="s">
        <v>1948</v>
      </c>
      <c r="F376" s="9" t="s">
        <v>1949</v>
      </c>
      <c r="G376" s="8" t="str">
        <f t="shared" ca="1" si="13"/>
        <v>Nächster</v>
      </c>
      <c r="H376" s="10" t="str">
        <f t="shared" ca="1" si="14"/>
        <v>Sonraki</v>
      </c>
      <c r="I376" s="1" t="s">
        <v>2843</v>
      </c>
    </row>
    <row r="377" spans="1:9" ht="16.5">
      <c r="A377" s="7" t="s">
        <v>1950</v>
      </c>
      <c r="B377" s="2" t="s">
        <v>1951</v>
      </c>
      <c r="C377" s="8" t="s">
        <v>1952</v>
      </c>
      <c r="D377" s="2" t="s">
        <v>1953</v>
      </c>
      <c r="E377" s="2" t="s">
        <v>1954</v>
      </c>
      <c r="F377" s="9" t="s">
        <v>1955</v>
      </c>
      <c r="G377" s="8" t="str">
        <f t="shared" ca="1" si="13"/>
        <v>Nächster</v>
      </c>
      <c r="H377" s="10" t="str">
        <f t="shared" ca="1" si="14"/>
        <v>Sonraki</v>
      </c>
      <c r="I377" s="1" t="s">
        <v>2846</v>
      </c>
    </row>
    <row r="378" spans="1:9" ht="16.5">
      <c r="A378" s="7" t="s">
        <v>1956</v>
      </c>
      <c r="B378" s="2" t="s">
        <v>1957</v>
      </c>
      <c r="C378" s="8" t="s">
        <v>1958</v>
      </c>
      <c r="D378" s="2" t="s">
        <v>1959</v>
      </c>
      <c r="E378" s="2" t="s">
        <v>1960</v>
      </c>
      <c r="F378" s="9" t="s">
        <v>1961</v>
      </c>
      <c r="G378" s="8" t="str">
        <f t="shared" ca="1" si="13"/>
        <v>Nächster</v>
      </c>
      <c r="H378" s="10" t="str">
        <f t="shared" ca="1" si="14"/>
        <v>Sonraki</v>
      </c>
      <c r="I378" s="1" t="s">
        <v>2847</v>
      </c>
    </row>
    <row r="379" spans="1:9" ht="38.25">
      <c r="A379" s="7" t="s">
        <v>1962</v>
      </c>
      <c r="B379" s="2" t="s">
        <v>1963</v>
      </c>
      <c r="C379" s="8" t="s">
        <v>1964</v>
      </c>
      <c r="D379" s="2" t="s">
        <v>1965</v>
      </c>
      <c r="E379" s="2" t="s">
        <v>1966</v>
      </c>
      <c r="F379" s="9" t="s">
        <v>1967</v>
      </c>
      <c r="G379" s="8" t="str">
        <f t="shared" ca="1" si="13"/>
        <v>Nächster</v>
      </c>
      <c r="H379" s="10" t="str">
        <f t="shared" ca="1" si="14"/>
        <v>Sonraki</v>
      </c>
      <c r="I379" s="1" t="s">
        <v>2849</v>
      </c>
    </row>
    <row r="380" spans="1:9" ht="51">
      <c r="A380" s="7" t="s">
        <v>1968</v>
      </c>
      <c r="B380" s="2" t="s">
        <v>1969</v>
      </c>
      <c r="C380" s="8" t="s">
        <v>1970</v>
      </c>
      <c r="D380" s="2" t="s">
        <v>1971</v>
      </c>
      <c r="E380" s="2" t="s">
        <v>1972</v>
      </c>
      <c r="F380" s="9" t="s">
        <v>1973</v>
      </c>
      <c r="G380" s="8" t="str">
        <f t="shared" ca="1" si="13"/>
        <v>Nächster</v>
      </c>
      <c r="H380" s="10" t="str">
        <f t="shared" ca="1" si="14"/>
        <v>Sonraki</v>
      </c>
      <c r="I380" s="1" t="s">
        <v>2850</v>
      </c>
    </row>
    <row r="381" spans="1:9" ht="16.5">
      <c r="A381" s="7" t="s">
        <v>1974</v>
      </c>
      <c r="B381" s="2" t="s">
        <v>1975</v>
      </c>
      <c r="C381" s="8" t="s">
        <v>1976</v>
      </c>
      <c r="D381" s="2" t="s">
        <v>1977</v>
      </c>
      <c r="E381" s="2" t="s">
        <v>1978</v>
      </c>
      <c r="F381" s="9" t="s">
        <v>1979</v>
      </c>
      <c r="G381" s="8" t="str">
        <f t="shared" ca="1" si="13"/>
        <v>Nächster</v>
      </c>
      <c r="H381" s="10" t="str">
        <f t="shared" ca="1" si="14"/>
        <v>Sonraki</v>
      </c>
      <c r="I381" s="1" t="s">
        <v>2851</v>
      </c>
    </row>
    <row r="382" spans="1:9" ht="16.5">
      <c r="A382" s="7" t="s">
        <v>1980</v>
      </c>
      <c r="B382" s="2" t="s">
        <v>1981</v>
      </c>
      <c r="C382" s="8" t="s">
        <v>1982</v>
      </c>
      <c r="D382" s="2" t="s">
        <v>1983</v>
      </c>
      <c r="E382" s="2" t="s">
        <v>1984</v>
      </c>
      <c r="F382" s="9" t="s">
        <v>1985</v>
      </c>
      <c r="G382" s="8" t="str">
        <f t="shared" ca="1" si="13"/>
        <v>Nächster</v>
      </c>
      <c r="H382" s="10" t="str">
        <f t="shared" ca="1" si="14"/>
        <v>Sonraki</v>
      </c>
      <c r="I382" s="1" t="s">
        <v>2852</v>
      </c>
    </row>
    <row r="383" spans="1:9" ht="16.5">
      <c r="A383" s="7" t="s">
        <v>1986</v>
      </c>
      <c r="B383" s="2" t="s">
        <v>1987</v>
      </c>
      <c r="C383" s="8" t="s">
        <v>1988</v>
      </c>
      <c r="D383" s="2" t="s">
        <v>1989</v>
      </c>
      <c r="E383" s="2" t="s">
        <v>1990</v>
      </c>
      <c r="F383" s="9" t="s">
        <v>1991</v>
      </c>
      <c r="G383" s="8" t="str">
        <f t="shared" ca="1" si="13"/>
        <v>Nächster</v>
      </c>
      <c r="H383" s="10" t="str">
        <f t="shared" ca="1" si="14"/>
        <v>Sonraki</v>
      </c>
      <c r="I383" s="1" t="s">
        <v>2853</v>
      </c>
    </row>
    <row r="384" spans="1:9" ht="16.5">
      <c r="A384" s="7" t="s">
        <v>1992</v>
      </c>
      <c r="B384" s="2" t="s">
        <v>1993</v>
      </c>
      <c r="C384" s="8" t="s">
        <v>1994</v>
      </c>
      <c r="D384" s="2" t="s">
        <v>1995</v>
      </c>
      <c r="E384" s="2" t="s">
        <v>1996</v>
      </c>
      <c r="F384" s="9" t="s">
        <v>1997</v>
      </c>
      <c r="G384" s="8" t="str">
        <f t="shared" ca="1" si="13"/>
        <v>Nächster</v>
      </c>
      <c r="H384" s="10" t="str">
        <f t="shared" ca="1" si="14"/>
        <v>Sonraki</v>
      </c>
      <c r="I384" s="1" t="s">
        <v>2854</v>
      </c>
    </row>
    <row r="385" spans="1:9" ht="16.5">
      <c r="A385" s="7" t="s">
        <v>1998</v>
      </c>
      <c r="B385" s="2" t="s">
        <v>1999</v>
      </c>
      <c r="C385" s="2" t="s">
        <v>2856</v>
      </c>
      <c r="D385" s="2" t="s">
        <v>2000</v>
      </c>
      <c r="E385" s="2" t="s">
        <v>2001</v>
      </c>
      <c r="F385" s="9" t="s">
        <v>2002</v>
      </c>
      <c r="G385" s="8" t="s">
        <v>2003</v>
      </c>
      <c r="H385" s="10" t="s">
        <v>2004</v>
      </c>
      <c r="I385" s="1" t="s">
        <v>2857</v>
      </c>
    </row>
    <row r="386" spans="1:9" ht="16.5">
      <c r="A386" s="7" t="s">
        <v>2005</v>
      </c>
      <c r="B386" s="2" t="s">
        <v>2006</v>
      </c>
      <c r="C386" s="8" t="s">
        <v>2007</v>
      </c>
      <c r="D386" s="2" t="s">
        <v>2008</v>
      </c>
      <c r="E386" s="2" t="s">
        <v>2009</v>
      </c>
      <c r="F386" s="9" t="s">
        <v>2010</v>
      </c>
      <c r="G386" s="8" t="str">
        <f ca="1">IFERROR(__xludf.DUMMYFUNCTION("GOOGLETRANSLATE(B386,""en"", ""de"")"),"Schützen Sie Ihre Verbündeten")</f>
        <v>Schützen Sie Ihre Verbündeten</v>
      </c>
      <c r="H386" s="10" t="str">
        <f ca="1">IFERROR(__xludf.DUMMYFUNCTION("GOOGLETRANSLATE(B386,""en"", ""tr"")"),"senin müttefiki koruyun")</f>
        <v>senin müttefiki koruyun</v>
      </c>
      <c r="I386" s="1" t="s">
        <v>2858</v>
      </c>
    </row>
    <row r="387" spans="1:9" ht="33">
      <c r="A387" s="7" t="s">
        <v>2011</v>
      </c>
      <c r="B387" s="2" t="s">
        <v>2012</v>
      </c>
      <c r="C387" s="2" t="s">
        <v>2918</v>
      </c>
      <c r="D387" s="2" t="s">
        <v>2013</v>
      </c>
      <c r="E387" s="2" t="s">
        <v>2014</v>
      </c>
      <c r="F387" s="9" t="s">
        <v>2015</v>
      </c>
      <c r="G387" s="8" t="s">
        <v>2016</v>
      </c>
      <c r="H387" s="23" t="s">
        <v>2017</v>
      </c>
      <c r="I387" s="1" t="s">
        <v>2969</v>
      </c>
    </row>
    <row r="388" spans="1:9" ht="16.5">
      <c r="A388" s="7" t="s">
        <v>2018</v>
      </c>
      <c r="B388" s="2" t="s">
        <v>2019</v>
      </c>
      <c r="C388" s="2" t="s">
        <v>2020</v>
      </c>
      <c r="D388" s="2" t="s">
        <v>2021</v>
      </c>
      <c r="E388" s="2" t="s">
        <v>2022</v>
      </c>
      <c r="F388" s="9" t="s">
        <v>2023</v>
      </c>
      <c r="G388" s="29" t="s">
        <v>2024</v>
      </c>
      <c r="H388" s="30" t="s">
        <v>2025</v>
      </c>
      <c r="I388" s="1" t="s">
        <v>2970</v>
      </c>
    </row>
    <row r="389" spans="1:9" ht="16.5">
      <c r="A389" s="7" t="s">
        <v>2026</v>
      </c>
      <c r="B389" s="2" t="s">
        <v>2027</v>
      </c>
      <c r="C389" s="2" t="s">
        <v>2028</v>
      </c>
      <c r="D389" s="2" t="s">
        <v>2029</v>
      </c>
      <c r="E389" s="2" t="s">
        <v>2030</v>
      </c>
      <c r="F389" s="9" t="s">
        <v>2031</v>
      </c>
      <c r="G389" s="29" t="s">
        <v>2032</v>
      </c>
      <c r="H389" s="30" t="s">
        <v>2033</v>
      </c>
      <c r="I389" s="1" t="s">
        <v>2971</v>
      </c>
    </row>
    <row r="390" spans="1:9" ht="33">
      <c r="A390" s="7" t="s">
        <v>2034</v>
      </c>
      <c r="B390" s="2" t="s">
        <v>2035</v>
      </c>
      <c r="C390" s="2" t="s">
        <v>2036</v>
      </c>
      <c r="D390" s="2" t="s">
        <v>2037</v>
      </c>
      <c r="E390" s="2" t="s">
        <v>2038</v>
      </c>
      <c r="F390" s="9" t="s">
        <v>2039</v>
      </c>
      <c r="G390" s="29" t="s">
        <v>2040</v>
      </c>
      <c r="H390" s="31" t="s">
        <v>2041</v>
      </c>
      <c r="I390" s="1" t="s">
        <v>2972</v>
      </c>
    </row>
    <row r="391" spans="1:9" ht="16.5">
      <c r="A391" s="7" t="s">
        <v>2042</v>
      </c>
      <c r="B391" s="2" t="s">
        <v>2043</v>
      </c>
      <c r="C391" s="2" t="s">
        <v>2044</v>
      </c>
      <c r="D391" s="2" t="s">
        <v>2045</v>
      </c>
      <c r="E391" s="2" t="s">
        <v>2046</v>
      </c>
      <c r="F391" s="9" t="s">
        <v>2047</v>
      </c>
      <c r="G391" s="29" t="s">
        <v>2048</v>
      </c>
      <c r="H391" s="30" t="s">
        <v>2048</v>
      </c>
      <c r="I391" s="1" t="s">
        <v>2973</v>
      </c>
    </row>
    <row r="392" spans="1:9" ht="51">
      <c r="A392" s="7" t="s">
        <v>2049</v>
      </c>
      <c r="B392" s="2" t="s">
        <v>2050</v>
      </c>
      <c r="C392" s="2" t="s">
        <v>2051</v>
      </c>
      <c r="D392" s="2" t="s">
        <v>2052</v>
      </c>
      <c r="E392" s="2" t="s">
        <v>2053</v>
      </c>
      <c r="F392" s="9" t="s">
        <v>2054</v>
      </c>
      <c r="G392" s="29" t="s">
        <v>2055</v>
      </c>
      <c r="H392" s="30" t="s">
        <v>2056</v>
      </c>
      <c r="I392" s="1" t="s">
        <v>2974</v>
      </c>
    </row>
    <row r="393" spans="1:9" ht="38.25">
      <c r="A393" s="7" t="s">
        <v>2057</v>
      </c>
      <c r="B393" s="2" t="s">
        <v>2058</v>
      </c>
      <c r="C393" s="2" t="s">
        <v>2059</v>
      </c>
      <c r="D393" s="2" t="s">
        <v>2060</v>
      </c>
      <c r="E393" s="2" t="s">
        <v>2061</v>
      </c>
      <c r="F393" s="9" t="s">
        <v>2062</v>
      </c>
      <c r="G393" s="29" t="s">
        <v>2063</v>
      </c>
      <c r="H393" s="30" t="s">
        <v>2064</v>
      </c>
      <c r="I393" s="1" t="s">
        <v>2975</v>
      </c>
    </row>
    <row r="394" spans="1:9" ht="16.5">
      <c r="A394" s="7" t="s">
        <v>2065</v>
      </c>
      <c r="B394" s="2" t="s">
        <v>2066</v>
      </c>
      <c r="C394" s="2" t="s">
        <v>2067</v>
      </c>
      <c r="D394" s="2" t="s">
        <v>2068</v>
      </c>
      <c r="E394" s="2" t="s">
        <v>2069</v>
      </c>
      <c r="F394" s="9" t="s">
        <v>2070</v>
      </c>
      <c r="G394" s="29" t="s">
        <v>2071</v>
      </c>
      <c r="H394" s="30" t="s">
        <v>2072</v>
      </c>
      <c r="I394" s="1" t="s">
        <v>2976</v>
      </c>
    </row>
    <row r="395" spans="1:9" ht="38.25">
      <c r="A395" s="7" t="s">
        <v>2073</v>
      </c>
      <c r="B395" s="2" t="s">
        <v>2074</v>
      </c>
      <c r="C395" s="2" t="s">
        <v>2075</v>
      </c>
      <c r="D395" s="2" t="s">
        <v>2076</v>
      </c>
      <c r="E395" s="2" t="s">
        <v>2077</v>
      </c>
      <c r="F395" s="9" t="s">
        <v>2078</v>
      </c>
      <c r="G395" s="29" t="s">
        <v>2079</v>
      </c>
      <c r="H395" s="30" t="s">
        <v>2080</v>
      </c>
      <c r="I395" s="1" t="s">
        <v>2977</v>
      </c>
    </row>
    <row r="396" spans="1:9" ht="51">
      <c r="A396" s="7" t="s">
        <v>2081</v>
      </c>
      <c r="B396" s="2" t="s">
        <v>2082</v>
      </c>
      <c r="C396" s="2" t="s">
        <v>2083</v>
      </c>
      <c r="D396" s="2" t="s">
        <v>2084</v>
      </c>
      <c r="E396" s="2" t="s">
        <v>2085</v>
      </c>
      <c r="F396" s="9" t="s">
        <v>2086</v>
      </c>
      <c r="G396" s="29" t="s">
        <v>2087</v>
      </c>
      <c r="H396" s="30" t="s">
        <v>2088</v>
      </c>
      <c r="I396" s="1" t="s">
        <v>2979</v>
      </c>
    </row>
    <row r="397" spans="1:9" ht="33">
      <c r="A397" s="7" t="s">
        <v>2089</v>
      </c>
      <c r="B397" s="2" t="s">
        <v>2090</v>
      </c>
      <c r="C397" s="2" t="s">
        <v>2091</v>
      </c>
      <c r="D397" s="2" t="s">
        <v>2092</v>
      </c>
      <c r="E397" s="2" t="s">
        <v>2093</v>
      </c>
      <c r="F397" s="9" t="s">
        <v>2094</v>
      </c>
      <c r="G397" s="29" t="s">
        <v>2095</v>
      </c>
      <c r="H397" s="30" t="s">
        <v>2096</v>
      </c>
      <c r="I397" s="1" t="s">
        <v>2978</v>
      </c>
    </row>
    <row r="398" spans="1:9" ht="51">
      <c r="A398" s="7" t="s">
        <v>2097</v>
      </c>
      <c r="B398" s="2" t="s">
        <v>2098</v>
      </c>
      <c r="C398" s="2" t="s">
        <v>2099</v>
      </c>
      <c r="D398" s="2" t="s">
        <v>2100</v>
      </c>
      <c r="E398" s="2" t="s">
        <v>2101</v>
      </c>
      <c r="F398" s="16" t="s">
        <v>2102</v>
      </c>
      <c r="G398" s="29" t="s">
        <v>2103</v>
      </c>
      <c r="H398" s="30" t="s">
        <v>2104</v>
      </c>
      <c r="I398" s="1" t="s">
        <v>2980</v>
      </c>
    </row>
    <row r="399" spans="1:9" ht="51">
      <c r="A399" s="7" t="s">
        <v>2105</v>
      </c>
      <c r="B399" s="2" t="s">
        <v>2106</v>
      </c>
      <c r="C399" s="2" t="s">
        <v>2107</v>
      </c>
      <c r="D399" s="2" t="s">
        <v>2108</v>
      </c>
      <c r="E399" s="2" t="s">
        <v>2109</v>
      </c>
      <c r="F399" s="16" t="s">
        <v>2110</v>
      </c>
      <c r="G399" s="29" t="s">
        <v>2111</v>
      </c>
      <c r="H399" s="30" t="s">
        <v>2112</v>
      </c>
      <c r="I399" s="1" t="s">
        <v>2981</v>
      </c>
    </row>
    <row r="400" spans="1:9" ht="25.5">
      <c r="A400" s="7" t="s">
        <v>2113</v>
      </c>
      <c r="B400" s="2" t="s">
        <v>2114</v>
      </c>
      <c r="C400" s="2" t="s">
        <v>2115</v>
      </c>
      <c r="D400" s="2" t="s">
        <v>2116</v>
      </c>
      <c r="E400" s="2" t="s">
        <v>2117</v>
      </c>
      <c r="F400" s="16" t="s">
        <v>2118</v>
      </c>
      <c r="G400" s="29" t="s">
        <v>2119</v>
      </c>
      <c r="H400" s="30" t="s">
        <v>2120</v>
      </c>
      <c r="I400" s="1" t="s">
        <v>2982</v>
      </c>
    </row>
    <row r="401" spans="1:9" ht="38.25">
      <c r="A401" s="7" t="s">
        <v>2121</v>
      </c>
      <c r="B401" s="2" t="s">
        <v>2122</v>
      </c>
      <c r="C401" s="2" t="s">
        <v>2123</v>
      </c>
      <c r="D401" s="2" t="s">
        <v>2124</v>
      </c>
      <c r="E401" s="2" t="s">
        <v>2125</v>
      </c>
      <c r="F401" s="16" t="s">
        <v>2126</v>
      </c>
      <c r="G401" s="29" t="s">
        <v>2127</v>
      </c>
      <c r="H401" s="30" t="s">
        <v>2128</v>
      </c>
      <c r="I401" s="1" t="s">
        <v>2983</v>
      </c>
    </row>
    <row r="402" spans="1:9" ht="25.5">
      <c r="A402" s="7" t="s">
        <v>2129</v>
      </c>
      <c r="B402" s="2" t="s">
        <v>2130</v>
      </c>
      <c r="C402" s="2" t="s">
        <v>2131</v>
      </c>
      <c r="D402" s="2" t="s">
        <v>2132</v>
      </c>
      <c r="E402" s="2" t="s">
        <v>2133</v>
      </c>
      <c r="F402" s="16" t="s">
        <v>2134</v>
      </c>
      <c r="G402" s="32" t="s">
        <v>2135</v>
      </c>
      <c r="H402" s="31" t="s">
        <v>2136</v>
      </c>
      <c r="I402" s="1" t="s">
        <v>2984</v>
      </c>
    </row>
    <row r="403" spans="1:9" ht="25.5">
      <c r="A403" s="7" t="s">
        <v>2137</v>
      </c>
      <c r="B403" s="2" t="s">
        <v>2138</v>
      </c>
      <c r="C403" s="2" t="s">
        <v>2139</v>
      </c>
      <c r="D403" s="2" t="s">
        <v>2140</v>
      </c>
      <c r="E403" s="2" t="s">
        <v>2141</v>
      </c>
      <c r="F403" s="16" t="s">
        <v>2142</v>
      </c>
      <c r="G403" s="29" t="s">
        <v>2143</v>
      </c>
      <c r="H403" s="31" t="s">
        <v>2144</v>
      </c>
      <c r="I403" s="1" t="s">
        <v>2986</v>
      </c>
    </row>
    <row r="404" spans="1:9" ht="16.5">
      <c r="A404" s="7" t="s">
        <v>2145</v>
      </c>
      <c r="B404" s="2" t="s">
        <v>2146</v>
      </c>
      <c r="C404" s="2" t="s">
        <v>2147</v>
      </c>
      <c r="D404" s="2" t="s">
        <v>2148</v>
      </c>
      <c r="E404" s="2" t="s">
        <v>2149</v>
      </c>
      <c r="F404" s="16" t="s">
        <v>2150</v>
      </c>
      <c r="G404" s="29" t="s">
        <v>2151</v>
      </c>
      <c r="H404" s="30" t="s">
        <v>2152</v>
      </c>
      <c r="I404" s="1" t="s">
        <v>2985</v>
      </c>
    </row>
    <row r="405" spans="1:9" ht="16.5">
      <c r="A405" s="7" t="s">
        <v>2153</v>
      </c>
      <c r="B405" s="2" t="s">
        <v>2154</v>
      </c>
      <c r="C405" s="2" t="s">
        <v>2155</v>
      </c>
      <c r="D405" s="2" t="s">
        <v>2156</v>
      </c>
      <c r="E405" s="2" t="s">
        <v>2154</v>
      </c>
      <c r="F405" s="16" t="s">
        <v>2156</v>
      </c>
      <c r="G405" s="29" t="s">
        <v>2157</v>
      </c>
      <c r="H405" s="30" t="s">
        <v>2157</v>
      </c>
      <c r="I405" s="1" t="s">
        <v>2987</v>
      </c>
    </row>
    <row r="406" spans="1:9" ht="38.25">
      <c r="A406" s="7" t="s">
        <v>2158</v>
      </c>
      <c r="B406" s="2" t="s">
        <v>2159</v>
      </c>
      <c r="C406" s="2" t="s">
        <v>2160</v>
      </c>
      <c r="D406" s="2" t="s">
        <v>2161</v>
      </c>
      <c r="E406" s="2" t="s">
        <v>2162</v>
      </c>
      <c r="F406" s="16" t="s">
        <v>2163</v>
      </c>
      <c r="G406" s="29" t="s">
        <v>2164</v>
      </c>
      <c r="H406" s="30" t="s">
        <v>2165</v>
      </c>
      <c r="I406" s="1" t="s">
        <v>2988</v>
      </c>
    </row>
    <row r="407" spans="1:9" ht="33">
      <c r="A407" s="7" t="s">
        <v>2166</v>
      </c>
      <c r="B407" s="2" t="s">
        <v>2167</v>
      </c>
      <c r="C407" s="2" t="s">
        <v>2168</v>
      </c>
      <c r="D407" s="2" t="s">
        <v>2169</v>
      </c>
      <c r="E407" s="2" t="s">
        <v>2170</v>
      </c>
      <c r="F407" s="16" t="s">
        <v>2171</v>
      </c>
      <c r="G407" s="29" t="s">
        <v>2172</v>
      </c>
      <c r="H407" s="30" t="s">
        <v>2173</v>
      </c>
      <c r="I407" s="1" t="s">
        <v>2989</v>
      </c>
    </row>
    <row r="408" spans="1:9" ht="51">
      <c r="A408" s="7" t="s">
        <v>2174</v>
      </c>
      <c r="B408" s="2" t="s">
        <v>2175</v>
      </c>
      <c r="C408" s="2" t="s">
        <v>2176</v>
      </c>
      <c r="D408" s="2" t="s">
        <v>2177</v>
      </c>
      <c r="E408" s="2" t="s">
        <v>2178</v>
      </c>
      <c r="F408" s="16" t="s">
        <v>2179</v>
      </c>
      <c r="G408" s="29" t="s">
        <v>2180</v>
      </c>
      <c r="H408" s="30" t="s">
        <v>2181</v>
      </c>
      <c r="I408" s="1" t="s">
        <v>2990</v>
      </c>
    </row>
    <row r="409" spans="1:9" ht="33">
      <c r="A409" s="7" t="s">
        <v>2182</v>
      </c>
      <c r="B409" s="2" t="s">
        <v>2183</v>
      </c>
      <c r="C409" s="2" t="s">
        <v>2184</v>
      </c>
      <c r="D409" s="2" t="s">
        <v>2185</v>
      </c>
      <c r="E409" s="2" t="s">
        <v>2186</v>
      </c>
      <c r="F409" s="16" t="s">
        <v>2187</v>
      </c>
      <c r="G409" s="29" t="s">
        <v>2188</v>
      </c>
      <c r="H409" s="30" t="s">
        <v>2189</v>
      </c>
      <c r="I409" s="1" t="s">
        <v>2991</v>
      </c>
    </row>
    <row r="410" spans="1:9" ht="16.5">
      <c r="A410" s="7" t="s">
        <v>2190</v>
      </c>
      <c r="B410" s="2" t="s">
        <v>2191</v>
      </c>
      <c r="C410" s="2" t="s">
        <v>2192</v>
      </c>
      <c r="D410" s="2" t="s">
        <v>2193</v>
      </c>
      <c r="E410" s="2" t="s">
        <v>2194</v>
      </c>
      <c r="F410" s="16" t="s">
        <v>2191</v>
      </c>
      <c r="G410" s="29" t="s">
        <v>2195</v>
      </c>
      <c r="H410" s="30" t="s">
        <v>2195</v>
      </c>
      <c r="I410" s="1" t="s">
        <v>2992</v>
      </c>
    </row>
    <row r="411" spans="1:9" ht="33">
      <c r="A411" s="7" t="s">
        <v>2196</v>
      </c>
      <c r="B411" s="2" t="s">
        <v>2197</v>
      </c>
      <c r="C411" s="2" t="s">
        <v>2198</v>
      </c>
      <c r="D411" s="2" t="s">
        <v>2199</v>
      </c>
      <c r="E411" s="2" t="s">
        <v>2200</v>
      </c>
      <c r="F411" s="16" t="s">
        <v>2201</v>
      </c>
      <c r="G411" s="29" t="s">
        <v>2202</v>
      </c>
      <c r="H411" s="30" t="s">
        <v>2203</v>
      </c>
      <c r="I411" s="1" t="s">
        <v>2993</v>
      </c>
    </row>
    <row r="412" spans="1:9" ht="33">
      <c r="A412" s="7" t="s">
        <v>2204</v>
      </c>
      <c r="B412" s="2" t="s">
        <v>2205</v>
      </c>
      <c r="C412" s="2" t="s">
        <v>2206</v>
      </c>
      <c r="D412" s="2" t="s">
        <v>2207</v>
      </c>
      <c r="E412" s="2" t="s">
        <v>2208</v>
      </c>
      <c r="F412" s="16" t="s">
        <v>2209</v>
      </c>
      <c r="G412" s="29" t="s">
        <v>2210</v>
      </c>
      <c r="H412" s="30" t="s">
        <v>2211</v>
      </c>
      <c r="I412" s="1" t="s">
        <v>2994</v>
      </c>
    </row>
    <row r="413" spans="1:9" ht="51">
      <c r="A413" s="7" t="s">
        <v>2212</v>
      </c>
      <c r="B413" s="2" t="s">
        <v>2213</v>
      </c>
      <c r="C413" s="2" t="s">
        <v>2214</v>
      </c>
      <c r="D413" s="2" t="s">
        <v>2215</v>
      </c>
      <c r="E413" s="2" t="s">
        <v>2216</v>
      </c>
      <c r="F413" s="16" t="s">
        <v>2217</v>
      </c>
      <c r="G413" s="29" t="s">
        <v>2218</v>
      </c>
      <c r="H413" s="30" t="s">
        <v>2219</v>
      </c>
      <c r="I413" s="1" t="s">
        <v>2995</v>
      </c>
    </row>
    <row r="414" spans="1:9" ht="38.25">
      <c r="A414" s="7" t="s">
        <v>2220</v>
      </c>
      <c r="B414" s="2" t="s">
        <v>2221</v>
      </c>
      <c r="C414" s="2" t="s">
        <v>2222</v>
      </c>
      <c r="D414" s="2" t="s">
        <v>2223</v>
      </c>
      <c r="E414" s="2" t="s">
        <v>2224</v>
      </c>
      <c r="F414" s="16" t="s">
        <v>2225</v>
      </c>
      <c r="G414" s="29" t="s">
        <v>2226</v>
      </c>
      <c r="H414" s="30" t="s">
        <v>2227</v>
      </c>
      <c r="I414" s="1" t="s">
        <v>2996</v>
      </c>
    </row>
    <row r="415" spans="1:9" ht="16.5">
      <c r="A415" s="7" t="s">
        <v>2228</v>
      </c>
      <c r="B415" s="2" t="s">
        <v>2229</v>
      </c>
      <c r="C415" s="2" t="s">
        <v>2230</v>
      </c>
      <c r="D415" s="2" t="s">
        <v>2231</v>
      </c>
      <c r="E415" s="2" t="s">
        <v>2232</v>
      </c>
      <c r="F415" s="16" t="s">
        <v>2233</v>
      </c>
      <c r="G415" s="29" t="s">
        <v>2234</v>
      </c>
      <c r="H415" s="30" t="s">
        <v>2235</v>
      </c>
      <c r="I415" s="1" t="s">
        <v>2997</v>
      </c>
    </row>
    <row r="416" spans="1:9" ht="16.5">
      <c r="A416" s="7" t="s">
        <v>2236</v>
      </c>
      <c r="B416" s="2" t="s">
        <v>2237</v>
      </c>
      <c r="C416" s="2" t="s">
        <v>2238</v>
      </c>
      <c r="D416" s="2" t="s">
        <v>2239</v>
      </c>
      <c r="E416" s="2" t="s">
        <v>2240</v>
      </c>
      <c r="F416" s="16" t="s">
        <v>2241</v>
      </c>
      <c r="G416" s="29" t="s">
        <v>2242</v>
      </c>
      <c r="H416" s="30" t="s">
        <v>2243</v>
      </c>
      <c r="I416" s="1" t="s">
        <v>2998</v>
      </c>
    </row>
    <row r="417" spans="1:9" ht="25.5">
      <c r="A417" s="7" t="s">
        <v>2244</v>
      </c>
      <c r="B417" s="2" t="s">
        <v>2245</v>
      </c>
      <c r="C417" s="2" t="s">
        <v>2246</v>
      </c>
      <c r="D417" s="2" t="s">
        <v>2247</v>
      </c>
      <c r="E417" s="2" t="s">
        <v>2248</v>
      </c>
      <c r="F417" s="16" t="s">
        <v>2249</v>
      </c>
      <c r="G417" s="29" t="s">
        <v>2250</v>
      </c>
      <c r="H417" s="31" t="s">
        <v>2251</v>
      </c>
      <c r="I417" s="1" t="s">
        <v>2999</v>
      </c>
    </row>
    <row r="418" spans="1:9" ht="25.5">
      <c r="A418" s="7" t="s">
        <v>2252</v>
      </c>
      <c r="B418" s="2" t="s">
        <v>2253</v>
      </c>
      <c r="C418" s="2" t="s">
        <v>2254</v>
      </c>
      <c r="D418" s="2" t="s">
        <v>2255</v>
      </c>
      <c r="E418" s="2" t="s">
        <v>2256</v>
      </c>
      <c r="F418" s="16" t="s">
        <v>2257</v>
      </c>
      <c r="G418" s="29" t="s">
        <v>2258</v>
      </c>
      <c r="H418" s="30" t="s">
        <v>2259</v>
      </c>
      <c r="I418" s="1" t="s">
        <v>3000</v>
      </c>
    </row>
    <row r="419" spans="1:9" ht="16.5">
      <c r="A419" s="7" t="s">
        <v>2260</v>
      </c>
      <c r="B419" s="2" t="s">
        <v>2261</v>
      </c>
      <c r="C419" s="2" t="s">
        <v>2262</v>
      </c>
      <c r="D419" s="2" t="s">
        <v>2263</v>
      </c>
      <c r="E419" s="2" t="s">
        <v>2264</v>
      </c>
      <c r="F419" s="16" t="s">
        <v>2265</v>
      </c>
      <c r="G419" s="29" t="s">
        <v>2266</v>
      </c>
      <c r="H419" s="30" t="s">
        <v>2267</v>
      </c>
      <c r="I419" s="1" t="s">
        <v>3002</v>
      </c>
    </row>
    <row r="420" spans="1:9" ht="25.5">
      <c r="A420" s="7" t="s">
        <v>2268</v>
      </c>
      <c r="B420" s="2" t="s">
        <v>2269</v>
      </c>
      <c r="C420" s="2" t="s">
        <v>2270</v>
      </c>
      <c r="D420" s="2" t="s">
        <v>2271</v>
      </c>
      <c r="E420" s="2" t="s">
        <v>2272</v>
      </c>
      <c r="F420" s="16" t="s">
        <v>2273</v>
      </c>
      <c r="G420" s="29" t="s">
        <v>2274</v>
      </c>
      <c r="H420" s="30" t="s">
        <v>2275</v>
      </c>
      <c r="I420" s="1" t="s">
        <v>3001</v>
      </c>
    </row>
    <row r="421" spans="1:9" ht="51">
      <c r="A421" s="7" t="s">
        <v>2276</v>
      </c>
      <c r="B421" s="2" t="s">
        <v>2277</v>
      </c>
      <c r="C421" s="2" t="s">
        <v>2278</v>
      </c>
      <c r="D421" s="2" t="s">
        <v>2279</v>
      </c>
      <c r="E421" s="2" t="s">
        <v>2280</v>
      </c>
      <c r="F421" s="16" t="s">
        <v>2281</v>
      </c>
      <c r="G421" s="29" t="s">
        <v>2282</v>
      </c>
      <c r="H421" s="30" t="s">
        <v>2283</v>
      </c>
      <c r="I421" s="1" t="s">
        <v>3003</v>
      </c>
    </row>
    <row r="422" spans="1:9" ht="16.5">
      <c r="A422" s="7" t="s">
        <v>2284</v>
      </c>
      <c r="B422" s="2" t="s">
        <v>2285</v>
      </c>
      <c r="C422" s="2" t="s">
        <v>2286</v>
      </c>
      <c r="D422" s="2" t="s">
        <v>2287</v>
      </c>
      <c r="E422" s="2" t="s">
        <v>2288</v>
      </c>
      <c r="F422" s="16" t="s">
        <v>2289</v>
      </c>
      <c r="G422" s="29" t="s">
        <v>2290</v>
      </c>
      <c r="H422" s="30" t="s">
        <v>2291</v>
      </c>
      <c r="I422" s="1" t="s">
        <v>3004</v>
      </c>
    </row>
    <row r="423" spans="1:9" ht="25.5">
      <c r="A423" s="7" t="s">
        <v>2292</v>
      </c>
      <c r="B423" s="2" t="s">
        <v>2293</v>
      </c>
      <c r="C423" s="2" t="s">
        <v>2294</v>
      </c>
      <c r="D423" s="2" t="s">
        <v>2295</v>
      </c>
      <c r="E423" s="2" t="s">
        <v>2296</v>
      </c>
      <c r="F423" s="16" t="s">
        <v>2297</v>
      </c>
      <c r="G423" s="29" t="s">
        <v>2298</v>
      </c>
      <c r="H423" s="30" t="s">
        <v>2299</v>
      </c>
      <c r="I423" s="1" t="s">
        <v>3005</v>
      </c>
    </row>
    <row r="424" spans="1:9" ht="38.25">
      <c r="A424" s="7" t="s">
        <v>2300</v>
      </c>
      <c r="B424" s="2" t="s">
        <v>2301</v>
      </c>
      <c r="C424" s="2" t="s">
        <v>2302</v>
      </c>
      <c r="D424" s="2" t="s">
        <v>2303</v>
      </c>
      <c r="E424" s="2" t="s">
        <v>2304</v>
      </c>
      <c r="F424" s="16" t="s">
        <v>2305</v>
      </c>
      <c r="G424" s="29" t="s">
        <v>2306</v>
      </c>
      <c r="H424" s="30" t="s">
        <v>2307</v>
      </c>
      <c r="I424" s="1" t="s">
        <v>3006</v>
      </c>
    </row>
    <row r="425" spans="1:9" ht="38.25">
      <c r="A425" s="7" t="s">
        <v>2308</v>
      </c>
      <c r="B425" s="2" t="s">
        <v>2309</v>
      </c>
      <c r="C425" s="2" t="s">
        <v>2310</v>
      </c>
      <c r="D425" s="2" t="s">
        <v>2311</v>
      </c>
      <c r="E425" s="2" t="s">
        <v>2312</v>
      </c>
      <c r="F425" s="16" t="s">
        <v>2313</v>
      </c>
      <c r="G425" s="29" t="s">
        <v>2314</v>
      </c>
      <c r="H425" s="30" t="s">
        <v>2315</v>
      </c>
      <c r="I425" s="1" t="s">
        <v>3007</v>
      </c>
    </row>
    <row r="426" spans="1:9" ht="33">
      <c r="A426" s="7" t="s">
        <v>2316</v>
      </c>
      <c r="B426" s="2" t="s">
        <v>2317</v>
      </c>
      <c r="C426" s="2" t="s">
        <v>2318</v>
      </c>
      <c r="D426" s="2" t="s">
        <v>2319</v>
      </c>
      <c r="E426" s="2" t="s">
        <v>2320</v>
      </c>
      <c r="F426" s="16" t="s">
        <v>2321</v>
      </c>
      <c r="G426" s="29" t="s">
        <v>2322</v>
      </c>
      <c r="H426" s="30" t="s">
        <v>2323</v>
      </c>
      <c r="I426" s="1" t="s">
        <v>3008</v>
      </c>
    </row>
    <row r="427" spans="1:9" ht="16.5">
      <c r="A427" s="7" t="s">
        <v>2324</v>
      </c>
      <c r="B427" s="2" t="s">
        <v>2325</v>
      </c>
      <c r="C427" s="2" t="s">
        <v>2326</v>
      </c>
      <c r="D427" s="2" t="s">
        <v>2327</v>
      </c>
      <c r="E427" s="2" t="s">
        <v>2328</v>
      </c>
      <c r="F427" s="16" t="s">
        <v>2325</v>
      </c>
      <c r="G427" s="29" t="s">
        <v>2329</v>
      </c>
      <c r="H427" s="30" t="s">
        <v>2329</v>
      </c>
      <c r="I427" s="1" t="s">
        <v>3009</v>
      </c>
    </row>
    <row r="428" spans="1:9" ht="16.5">
      <c r="A428" s="7" t="s">
        <v>2330</v>
      </c>
      <c r="B428" s="2" t="s">
        <v>2331</v>
      </c>
      <c r="C428" s="2" t="s">
        <v>2332</v>
      </c>
      <c r="D428" s="2" t="s">
        <v>2333</v>
      </c>
      <c r="E428" s="2" t="s">
        <v>2334</v>
      </c>
      <c r="F428" s="16" t="s">
        <v>2335</v>
      </c>
      <c r="G428" s="29" t="s">
        <v>2336</v>
      </c>
      <c r="H428" s="30" t="s">
        <v>2337</v>
      </c>
      <c r="I428" s="1" t="s">
        <v>3010</v>
      </c>
    </row>
    <row r="429" spans="1:9" ht="16.5">
      <c r="A429" s="7" t="s">
        <v>2338</v>
      </c>
      <c r="B429" s="2" t="s">
        <v>2339</v>
      </c>
      <c r="C429" s="2" t="s">
        <v>2340</v>
      </c>
      <c r="D429" s="2" t="s">
        <v>2341</v>
      </c>
      <c r="E429" s="2" t="s">
        <v>2342</v>
      </c>
      <c r="F429" s="16" t="s">
        <v>2343</v>
      </c>
      <c r="G429" s="29" t="s">
        <v>2339</v>
      </c>
      <c r="H429" s="30" t="s">
        <v>2339</v>
      </c>
      <c r="I429" s="1" t="s">
        <v>3011</v>
      </c>
    </row>
    <row r="430" spans="1:9" ht="33">
      <c r="A430" s="7" t="s">
        <v>2344</v>
      </c>
      <c r="B430" s="2" t="s">
        <v>2345</v>
      </c>
      <c r="C430" s="2" t="s">
        <v>2346</v>
      </c>
      <c r="D430" s="2" t="s">
        <v>2347</v>
      </c>
      <c r="E430" s="2" t="s">
        <v>2348</v>
      </c>
      <c r="F430" s="16" t="s">
        <v>2349</v>
      </c>
      <c r="G430" s="29" t="s">
        <v>2350</v>
      </c>
      <c r="H430" s="30" t="s">
        <v>2351</v>
      </c>
      <c r="I430" s="1" t="s">
        <v>3012</v>
      </c>
    </row>
    <row r="431" spans="1:9" ht="16.5">
      <c r="A431" s="7" t="s">
        <v>2352</v>
      </c>
      <c r="B431" s="2" t="s">
        <v>2353</v>
      </c>
      <c r="C431" s="2" t="s">
        <v>2354</v>
      </c>
      <c r="D431" s="2" t="s">
        <v>2355</v>
      </c>
      <c r="E431" s="2" t="s">
        <v>2356</v>
      </c>
      <c r="F431" s="16" t="s">
        <v>2357</v>
      </c>
      <c r="G431" s="29" t="s">
        <v>2358</v>
      </c>
      <c r="H431" s="30" t="s">
        <v>2359</v>
      </c>
      <c r="I431" s="1" t="s">
        <v>3013</v>
      </c>
    </row>
    <row r="432" spans="1:9" ht="33">
      <c r="A432" s="7" t="s">
        <v>2360</v>
      </c>
      <c r="B432" s="2" t="s">
        <v>2361</v>
      </c>
      <c r="C432" s="2" t="s">
        <v>2362</v>
      </c>
      <c r="D432" s="2" t="s">
        <v>2363</v>
      </c>
      <c r="E432" s="2" t="s">
        <v>2364</v>
      </c>
      <c r="F432" s="16" t="s">
        <v>2365</v>
      </c>
      <c r="G432" s="29" t="s">
        <v>2366</v>
      </c>
      <c r="H432" s="30" t="s">
        <v>2367</v>
      </c>
      <c r="I432" s="1" t="s">
        <v>3014</v>
      </c>
    </row>
    <row r="433" spans="1:9" ht="33">
      <c r="A433" s="7" t="s">
        <v>2368</v>
      </c>
      <c r="B433" s="2" t="s">
        <v>2369</v>
      </c>
      <c r="C433" s="2" t="s">
        <v>2370</v>
      </c>
      <c r="D433" s="2" t="s">
        <v>2371</v>
      </c>
      <c r="E433" s="2" t="s">
        <v>2372</v>
      </c>
      <c r="F433" s="16" t="s">
        <v>2373</v>
      </c>
      <c r="G433" s="29" t="s">
        <v>2374</v>
      </c>
      <c r="H433" s="30" t="s">
        <v>2375</v>
      </c>
      <c r="I433" s="1" t="s">
        <v>3015</v>
      </c>
    </row>
    <row r="434" spans="1:9" ht="25.5">
      <c r="A434" s="7" t="s">
        <v>2376</v>
      </c>
      <c r="B434" s="2" t="s">
        <v>2377</v>
      </c>
      <c r="C434" s="2" t="s">
        <v>2378</v>
      </c>
      <c r="D434" s="2" t="s">
        <v>2379</v>
      </c>
      <c r="E434" s="2" t="s">
        <v>2280</v>
      </c>
      <c r="F434" s="16" t="s">
        <v>2380</v>
      </c>
      <c r="G434" s="29" t="s">
        <v>2381</v>
      </c>
      <c r="H434" s="30" t="s">
        <v>2382</v>
      </c>
      <c r="I434" s="1" t="s">
        <v>3016</v>
      </c>
    </row>
    <row r="435" spans="1:9" ht="38.25">
      <c r="A435" s="7" t="s">
        <v>2383</v>
      </c>
      <c r="B435" s="2" t="s">
        <v>2384</v>
      </c>
      <c r="C435" s="2" t="s">
        <v>2385</v>
      </c>
      <c r="D435" s="2" t="s">
        <v>2386</v>
      </c>
      <c r="E435" s="2" t="s">
        <v>2387</v>
      </c>
      <c r="F435" s="16" t="s">
        <v>2388</v>
      </c>
      <c r="G435" s="29" t="s">
        <v>2389</v>
      </c>
      <c r="H435" s="30" t="s">
        <v>2390</v>
      </c>
      <c r="I435" s="1" t="s">
        <v>3017</v>
      </c>
    </row>
    <row r="436" spans="1:9" ht="51">
      <c r="A436" s="7" t="s">
        <v>2391</v>
      </c>
      <c r="B436" s="2" t="s">
        <v>2392</v>
      </c>
      <c r="C436" s="2" t="s">
        <v>2393</v>
      </c>
      <c r="D436" s="2" t="s">
        <v>2394</v>
      </c>
      <c r="E436" s="2" t="s">
        <v>2395</v>
      </c>
      <c r="F436" s="16" t="s">
        <v>2396</v>
      </c>
      <c r="G436" s="29" t="s">
        <v>2397</v>
      </c>
      <c r="H436" s="30" t="s">
        <v>2398</v>
      </c>
      <c r="I436" s="1" t="s">
        <v>3018</v>
      </c>
    </row>
    <row r="437" spans="1:9" ht="33">
      <c r="A437" s="7" t="s">
        <v>2399</v>
      </c>
      <c r="B437" s="2" t="s">
        <v>2400</v>
      </c>
      <c r="C437" s="2" t="s">
        <v>2401</v>
      </c>
      <c r="D437" s="2" t="s">
        <v>2402</v>
      </c>
      <c r="E437" s="2" t="s">
        <v>2403</v>
      </c>
      <c r="F437" s="16" t="s">
        <v>2404</v>
      </c>
      <c r="G437" s="29" t="s">
        <v>2405</v>
      </c>
      <c r="H437" s="30" t="s">
        <v>2406</v>
      </c>
      <c r="I437" s="1" t="s">
        <v>3019</v>
      </c>
    </row>
    <row r="438" spans="1:9" ht="16.5">
      <c r="A438" s="7" t="s">
        <v>2407</v>
      </c>
      <c r="B438" s="2" t="s">
        <v>2408</v>
      </c>
      <c r="C438" s="2" t="s">
        <v>2409</v>
      </c>
      <c r="D438" s="2" t="s">
        <v>2231</v>
      </c>
      <c r="E438" s="2" t="s">
        <v>2410</v>
      </c>
      <c r="F438" s="16" t="s">
        <v>2233</v>
      </c>
      <c r="G438" s="29" t="s">
        <v>2411</v>
      </c>
      <c r="H438" s="30" t="s">
        <v>2412</v>
      </c>
      <c r="I438" s="1" t="s">
        <v>3020</v>
      </c>
    </row>
    <row r="439" spans="1:9" ht="16.5">
      <c r="A439" s="7" t="s">
        <v>2413</v>
      </c>
      <c r="B439" s="2" t="s">
        <v>2414</v>
      </c>
      <c r="C439" s="2" t="s">
        <v>2415</v>
      </c>
      <c r="D439" s="2" t="s">
        <v>2416</v>
      </c>
      <c r="E439" s="2" t="s">
        <v>2417</v>
      </c>
      <c r="F439" s="16" t="s">
        <v>2418</v>
      </c>
      <c r="G439" s="29" t="s">
        <v>2419</v>
      </c>
      <c r="H439" s="30" t="s">
        <v>2420</v>
      </c>
      <c r="I439" s="1" t="s">
        <v>3021</v>
      </c>
    </row>
    <row r="440" spans="1:9" ht="38.25">
      <c r="A440" s="7" t="s">
        <v>2421</v>
      </c>
      <c r="B440" s="2" t="s">
        <v>2422</v>
      </c>
      <c r="C440" s="2" t="s">
        <v>2423</v>
      </c>
      <c r="D440" s="2" t="s">
        <v>2424</v>
      </c>
      <c r="E440" s="2" t="s">
        <v>2425</v>
      </c>
      <c r="F440" s="16" t="s">
        <v>2426</v>
      </c>
      <c r="G440" s="29" t="s">
        <v>2427</v>
      </c>
      <c r="H440" s="30" t="s">
        <v>2428</v>
      </c>
      <c r="I440" s="1" t="s">
        <v>3022</v>
      </c>
    </row>
    <row r="441" spans="1:9" ht="49.5">
      <c r="A441" s="7" t="s">
        <v>2429</v>
      </c>
      <c r="B441" s="2" t="s">
        <v>2430</v>
      </c>
      <c r="C441" s="2" t="s">
        <v>2431</v>
      </c>
      <c r="D441" s="2" t="s">
        <v>2432</v>
      </c>
      <c r="E441" s="2" t="s">
        <v>2433</v>
      </c>
      <c r="F441" s="16" t="s">
        <v>2434</v>
      </c>
      <c r="G441" s="32" t="s">
        <v>2435</v>
      </c>
      <c r="H441" s="30" t="s">
        <v>2436</v>
      </c>
      <c r="I441" s="1" t="s">
        <v>3023</v>
      </c>
    </row>
    <row r="442" spans="1:9" ht="38.25">
      <c r="A442" s="7" t="s">
        <v>2437</v>
      </c>
      <c r="B442" s="2" t="s">
        <v>2438</v>
      </c>
      <c r="C442" s="2" t="s">
        <v>2439</v>
      </c>
      <c r="D442" s="2" t="s">
        <v>2440</v>
      </c>
      <c r="E442" s="2" t="s">
        <v>2441</v>
      </c>
      <c r="F442" s="16" t="s">
        <v>2442</v>
      </c>
      <c r="G442" s="29" t="s">
        <v>2443</v>
      </c>
      <c r="H442" s="30" t="s">
        <v>2444</v>
      </c>
      <c r="I442" s="1" t="s">
        <v>3024</v>
      </c>
    </row>
    <row r="443" spans="1:9" ht="38.25">
      <c r="A443" s="7" t="s">
        <v>2445</v>
      </c>
      <c r="B443" s="2" t="s">
        <v>2446</v>
      </c>
      <c r="C443" s="2" t="s">
        <v>2447</v>
      </c>
      <c r="D443" s="2" t="s">
        <v>2448</v>
      </c>
      <c r="E443" s="2" t="s">
        <v>2449</v>
      </c>
      <c r="F443" s="16" t="s">
        <v>2450</v>
      </c>
      <c r="G443" s="29" t="s">
        <v>2451</v>
      </c>
      <c r="H443" s="30" t="s">
        <v>2452</v>
      </c>
      <c r="I443" s="1" t="s">
        <v>3025</v>
      </c>
    </row>
    <row r="444" spans="1:9" ht="25.5">
      <c r="A444" s="7" t="s">
        <v>2453</v>
      </c>
      <c r="B444" s="2" t="s">
        <v>2454</v>
      </c>
      <c r="C444" s="2" t="s">
        <v>2455</v>
      </c>
      <c r="D444" s="2" t="s">
        <v>2456</v>
      </c>
      <c r="E444" s="2" t="s">
        <v>2457</v>
      </c>
      <c r="F444" s="16" t="s">
        <v>2458</v>
      </c>
      <c r="G444" s="29" t="s">
        <v>2459</v>
      </c>
      <c r="H444" s="30" t="s">
        <v>2460</v>
      </c>
      <c r="I444" s="1" t="s">
        <v>3026</v>
      </c>
    </row>
    <row r="445" spans="1:9" ht="51">
      <c r="A445" s="7" t="s">
        <v>2461</v>
      </c>
      <c r="B445" s="2" t="s">
        <v>2462</v>
      </c>
      <c r="C445" s="2" t="s">
        <v>2463</v>
      </c>
      <c r="D445" s="2" t="s">
        <v>2464</v>
      </c>
      <c r="E445" s="2" t="s">
        <v>2465</v>
      </c>
      <c r="F445" s="16" t="s">
        <v>2466</v>
      </c>
      <c r="G445" s="29" t="s">
        <v>2467</v>
      </c>
      <c r="H445" s="30" t="s">
        <v>2468</v>
      </c>
      <c r="I445" s="1" t="s">
        <v>3027</v>
      </c>
    </row>
    <row r="446" spans="1:9" ht="25.5">
      <c r="A446" s="7" t="s">
        <v>2469</v>
      </c>
      <c r="B446" s="2" t="s">
        <v>2470</v>
      </c>
      <c r="C446" s="2" t="s">
        <v>2471</v>
      </c>
      <c r="D446" s="2" t="s">
        <v>2472</v>
      </c>
      <c r="E446" s="2" t="s">
        <v>2473</v>
      </c>
      <c r="F446" s="16" t="s">
        <v>2474</v>
      </c>
      <c r="G446" s="29" t="s">
        <v>2475</v>
      </c>
      <c r="H446" s="30" t="s">
        <v>2476</v>
      </c>
      <c r="I446" s="1" t="s">
        <v>3028</v>
      </c>
    </row>
    <row r="447" spans="1:9" ht="25.5">
      <c r="A447" s="7" t="s">
        <v>2477</v>
      </c>
      <c r="B447" s="2" t="s">
        <v>2478</v>
      </c>
      <c r="C447" s="2" t="s">
        <v>2479</v>
      </c>
      <c r="D447" s="2" t="s">
        <v>2480</v>
      </c>
      <c r="E447" s="2" t="s">
        <v>2481</v>
      </c>
      <c r="F447" s="16" t="s">
        <v>2482</v>
      </c>
      <c r="G447" s="29" t="s">
        <v>2483</v>
      </c>
      <c r="H447" s="30" t="s">
        <v>2484</v>
      </c>
      <c r="I447" s="1" t="s">
        <v>3029</v>
      </c>
    </row>
    <row r="448" spans="1:9" ht="16.5">
      <c r="A448" s="7" t="s">
        <v>2485</v>
      </c>
      <c r="B448" s="2" t="s">
        <v>2486</v>
      </c>
      <c r="C448" s="2" t="s">
        <v>2487</v>
      </c>
      <c r="D448" s="2" t="s">
        <v>2488</v>
      </c>
      <c r="E448" s="2" t="s">
        <v>2489</v>
      </c>
      <c r="F448" s="16" t="s">
        <v>2490</v>
      </c>
      <c r="G448" s="29" t="s">
        <v>2491</v>
      </c>
      <c r="H448" s="30" t="s">
        <v>2492</v>
      </c>
      <c r="I448" s="1" t="s">
        <v>2951</v>
      </c>
    </row>
    <row r="449" spans="1:9" ht="33">
      <c r="A449" s="7" t="s">
        <v>2493</v>
      </c>
      <c r="B449" s="2" t="s">
        <v>2494</v>
      </c>
      <c r="C449" s="2" t="s">
        <v>2495</v>
      </c>
      <c r="D449" s="2" t="s">
        <v>2496</v>
      </c>
      <c r="E449" s="2" t="s">
        <v>2497</v>
      </c>
      <c r="F449" s="16" t="s">
        <v>2498</v>
      </c>
      <c r="G449" s="29" t="s">
        <v>2499</v>
      </c>
      <c r="H449" s="30" t="s">
        <v>2500</v>
      </c>
      <c r="I449" s="1" t="s">
        <v>2950</v>
      </c>
    </row>
    <row r="450" spans="1:9" ht="38.25">
      <c r="A450" s="7" t="s">
        <v>2501</v>
      </c>
      <c r="B450" s="2" t="s">
        <v>2502</v>
      </c>
      <c r="C450" s="2" t="s">
        <v>2503</v>
      </c>
      <c r="D450" s="2" t="s">
        <v>2504</v>
      </c>
      <c r="E450" s="2" t="s">
        <v>2505</v>
      </c>
      <c r="F450" s="16" t="s">
        <v>2506</v>
      </c>
      <c r="G450" s="29" t="s">
        <v>2507</v>
      </c>
      <c r="H450" s="30" t="s">
        <v>2508</v>
      </c>
      <c r="I450" s="1" t="s">
        <v>2949</v>
      </c>
    </row>
    <row r="451" spans="1:9" ht="16.5">
      <c r="A451" s="7" t="s">
        <v>2509</v>
      </c>
      <c r="B451" s="2" t="s">
        <v>2510</v>
      </c>
      <c r="C451" s="2" t="s">
        <v>2511</v>
      </c>
      <c r="D451" s="2" t="s">
        <v>2512</v>
      </c>
      <c r="E451" s="2" t="s">
        <v>2513</v>
      </c>
      <c r="F451" s="16" t="s">
        <v>2514</v>
      </c>
      <c r="G451" s="29" t="s">
        <v>2515</v>
      </c>
      <c r="H451" s="30" t="s">
        <v>2516</v>
      </c>
      <c r="I451" s="1" t="s">
        <v>2948</v>
      </c>
    </row>
  </sheetData>
  <phoneticPr fontId="11"/>
  <conditionalFormatting sqref="G389:H451">
    <cfRule type="notContainsBlanks" dxfId="1" priority="1">
      <formula>LEN(TRIM(G389))&gt;0</formula>
    </cfRule>
  </conditionalFormatting>
  <pageMargins left="0.7" right="0.7" top="0.75" bottom="0.75" header="0.3" footer="0.3"/>
  <pageSetup paperSize="9" fitToHeight="0"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W4"/>
  <sheetViews>
    <sheetView workbookViewId="0">
      <selection activeCell="F5" sqref="F5"/>
    </sheetView>
  </sheetViews>
  <sheetFormatPr defaultColWidth="14.42578125" defaultRowHeight="15.75" customHeight="1"/>
  <cols>
    <col min="1" max="26" width="7.7109375" style="4" customWidth="1"/>
    <col min="27" max="16384" width="14.42578125" style="4"/>
  </cols>
  <sheetData>
    <row r="1" spans="2:23" ht="15.75" customHeight="1">
      <c r="C1" s="5">
        <v>9495</v>
      </c>
      <c r="D1" s="5">
        <v>9495</v>
      </c>
      <c r="E1" s="5">
        <v>9495</v>
      </c>
      <c r="F1" s="5">
        <v>9495</v>
      </c>
      <c r="G1" s="5">
        <v>9495</v>
      </c>
      <c r="H1" s="5">
        <v>9495</v>
      </c>
      <c r="I1" s="5">
        <v>9495</v>
      </c>
      <c r="J1" s="5">
        <v>9495</v>
      </c>
      <c r="K1" s="5">
        <v>9495</v>
      </c>
      <c r="L1" s="5">
        <v>9495</v>
      </c>
      <c r="M1" s="5">
        <v>9495</v>
      </c>
      <c r="N1" s="5">
        <v>9495</v>
      </c>
      <c r="O1" s="5">
        <v>9495</v>
      </c>
      <c r="P1" s="5">
        <v>9495</v>
      </c>
      <c r="Q1" s="5">
        <v>9495</v>
      </c>
      <c r="R1" s="5">
        <v>9495</v>
      </c>
      <c r="S1" s="5">
        <v>9495</v>
      </c>
      <c r="T1" s="5">
        <v>9495</v>
      </c>
      <c r="U1" s="5">
        <v>9495</v>
      </c>
      <c r="V1" s="5">
        <v>9495</v>
      </c>
    </row>
    <row r="2" spans="2:23" ht="15.75" customHeight="1">
      <c r="B2" s="4">
        <v>900</v>
      </c>
      <c r="C2" s="4">
        <f>C1*1</f>
        <v>9495</v>
      </c>
      <c r="D2" s="4">
        <f>D1*2</f>
        <v>18990</v>
      </c>
      <c r="E2" s="4">
        <f>E1*3</f>
        <v>28485</v>
      </c>
      <c r="F2" s="4">
        <f>F1*1</f>
        <v>9495</v>
      </c>
      <c r="G2" s="4">
        <f>G1*2</f>
        <v>18990</v>
      </c>
      <c r="H2" s="4">
        <f>H1*3</f>
        <v>28485</v>
      </c>
      <c r="I2" s="4">
        <f>I1*1</f>
        <v>9495</v>
      </c>
      <c r="J2" s="4">
        <f>I1*2</f>
        <v>18990</v>
      </c>
      <c r="K2" s="4">
        <f>K1*1</f>
        <v>9495</v>
      </c>
      <c r="L2" s="4">
        <f>K1*2</f>
        <v>18990</v>
      </c>
      <c r="M2" s="4">
        <f>M1*1</f>
        <v>9495</v>
      </c>
      <c r="N2" s="4">
        <f>M1*2</f>
        <v>18990</v>
      </c>
      <c r="O2" s="4">
        <f>O1*1</f>
        <v>9495</v>
      </c>
      <c r="P2" s="4">
        <f>O1*2</f>
        <v>18990</v>
      </c>
      <c r="Q2" s="4">
        <f>Q1*1</f>
        <v>9495</v>
      </c>
      <c r="R2" s="4">
        <f>Q1*2</f>
        <v>18990</v>
      </c>
      <c r="S2" s="4">
        <f>S1*1</f>
        <v>9495</v>
      </c>
      <c r="T2" s="4">
        <f>S1*2</f>
        <v>18990</v>
      </c>
      <c r="U2" s="4">
        <f>U1*1</f>
        <v>9495</v>
      </c>
      <c r="V2" s="4">
        <f>U1*2</f>
        <v>18990</v>
      </c>
      <c r="W2" s="4">
        <v>172800</v>
      </c>
    </row>
    <row r="3" spans="2:23" ht="15.75" customHeight="1">
      <c r="B3" s="6">
        <v>60</v>
      </c>
      <c r="C3" s="6">
        <v>120</v>
      </c>
      <c r="D3" s="6">
        <v>200</v>
      </c>
      <c r="E3" s="6">
        <v>300</v>
      </c>
      <c r="F3" s="6">
        <v>500</v>
      </c>
      <c r="G3" s="6">
        <v>700</v>
      </c>
      <c r="H3" s="6">
        <v>1000</v>
      </c>
      <c r="I3" s="6">
        <v>1500</v>
      </c>
      <c r="J3" s="6">
        <v>2000</v>
      </c>
      <c r="K3" s="6">
        <v>3000</v>
      </c>
      <c r="L3" s="6">
        <v>5000</v>
      </c>
      <c r="M3" s="6">
        <v>7500</v>
      </c>
      <c r="N3" s="6">
        <v>10000</v>
      </c>
      <c r="O3" s="6">
        <v>15000</v>
      </c>
      <c r="P3" s="6">
        <v>20000</v>
      </c>
      <c r="Q3" s="6">
        <v>30000</v>
      </c>
      <c r="R3" s="6">
        <v>40000</v>
      </c>
      <c r="S3" s="6">
        <v>50000</v>
      </c>
      <c r="T3" s="6">
        <v>70000</v>
      </c>
      <c r="U3" s="6">
        <v>90000</v>
      </c>
      <c r="V3" s="6">
        <v>120000</v>
      </c>
      <c r="W3" s="6">
        <v>150000</v>
      </c>
    </row>
    <row r="4" spans="2:23" ht="15.75" customHeight="1">
      <c r="B4" s="4">
        <f t="shared" ref="B4:W4" si="0">B3*1.2</f>
        <v>72</v>
      </c>
      <c r="C4" s="4">
        <f t="shared" si="0"/>
        <v>144</v>
      </c>
      <c r="D4" s="4">
        <f t="shared" si="0"/>
        <v>240</v>
      </c>
      <c r="E4" s="4">
        <f t="shared" si="0"/>
        <v>360</v>
      </c>
      <c r="F4" s="4">
        <f t="shared" si="0"/>
        <v>600</v>
      </c>
      <c r="G4" s="4">
        <f t="shared" si="0"/>
        <v>840</v>
      </c>
      <c r="H4" s="4">
        <f t="shared" si="0"/>
        <v>1200</v>
      </c>
      <c r="I4" s="4">
        <f t="shared" si="0"/>
        <v>1800</v>
      </c>
      <c r="J4" s="4">
        <f t="shared" si="0"/>
        <v>2400</v>
      </c>
      <c r="K4" s="4">
        <f t="shared" si="0"/>
        <v>3600</v>
      </c>
      <c r="L4" s="4">
        <f t="shared" si="0"/>
        <v>6000</v>
      </c>
      <c r="M4" s="4">
        <f t="shared" si="0"/>
        <v>9000</v>
      </c>
      <c r="N4" s="4">
        <f t="shared" si="0"/>
        <v>12000</v>
      </c>
      <c r="O4" s="4">
        <f t="shared" si="0"/>
        <v>18000</v>
      </c>
      <c r="P4" s="4">
        <f t="shared" si="0"/>
        <v>24000</v>
      </c>
      <c r="Q4" s="4">
        <f t="shared" si="0"/>
        <v>36000</v>
      </c>
      <c r="R4" s="4">
        <f t="shared" si="0"/>
        <v>48000</v>
      </c>
      <c r="S4" s="4">
        <f t="shared" si="0"/>
        <v>60000</v>
      </c>
      <c r="T4" s="4">
        <f t="shared" si="0"/>
        <v>84000</v>
      </c>
      <c r="U4" s="4">
        <f t="shared" si="0"/>
        <v>108000</v>
      </c>
      <c r="V4" s="4">
        <f t="shared" si="0"/>
        <v>144000</v>
      </c>
      <c r="W4" s="4">
        <f t="shared" si="0"/>
        <v>180000</v>
      </c>
    </row>
  </sheetData>
  <phoneticPr fontId="11"/>
  <conditionalFormatting sqref="B4">
    <cfRule type="notContainsBlanks" dxfId="0" priority="1">
      <formula>LEN(TRIM(B4))&gt;0</formula>
    </cfRule>
  </conditionalFormatting>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language</vt:lpstr>
      <vt:lpstr>시트2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Hyemin Kim</dc:creator>
  <cp:lastModifiedBy>Author</cp:lastModifiedBy>
  <cp:lastPrinted>2019-10-07T05:50:26Z</cp:lastPrinted>
  <dcterms:created xsi:type="dcterms:W3CDTF">2019-09-06T06:10:21Z</dcterms:created>
  <dcterms:modified xsi:type="dcterms:W3CDTF">2019-10-07T15:30:39Z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9e395e-e3b5-421f-8616-70a10f9451af_Enabled">
    <vt:lpwstr>True</vt:lpwstr>
  </property>
  <property fmtid="{D5CDD505-2E9C-101B-9397-08002B2CF9AE}" pid="3" name="MSIP_Label_879e395e-e3b5-421f-8616-70a10f9451af_SiteId">
    <vt:lpwstr>0beb0c35-9cbb-4feb-99e5-589e415c7944</vt:lpwstr>
  </property>
  <property fmtid="{D5CDD505-2E9C-101B-9397-08002B2CF9AE}" pid="4" name="MSIP_Label_879e395e-e3b5-421f-8616-70a10f9451af_Owner">
    <vt:lpwstr>kkanai@richardsonrfpd.com</vt:lpwstr>
  </property>
  <property fmtid="{D5CDD505-2E9C-101B-9397-08002B2CF9AE}" pid="5" name="MSIP_Label_879e395e-e3b5-421f-8616-70a10f9451af_SetDate">
    <vt:lpwstr>2019-10-07T03:52:15.2151170Z</vt:lpwstr>
  </property>
  <property fmtid="{D5CDD505-2E9C-101B-9397-08002B2CF9AE}" pid="6" name="MSIP_Label_879e395e-e3b5-421f-8616-70a10f9451af_Name">
    <vt:lpwstr>Public</vt:lpwstr>
  </property>
  <property fmtid="{D5CDD505-2E9C-101B-9397-08002B2CF9AE}" pid="7" name="MSIP_Label_879e395e-e3b5-421f-8616-70a10f9451af_Application">
    <vt:lpwstr>Microsoft Azure Information Protection</vt:lpwstr>
  </property>
  <property fmtid="{D5CDD505-2E9C-101B-9397-08002B2CF9AE}" pid="8" name="MSIP_Label_879e395e-e3b5-421f-8616-70a10f9451af_ActionId">
    <vt:lpwstr>6e64358f-5189-4a08-bc1c-80d0869dbcb1</vt:lpwstr>
  </property>
  <property fmtid="{D5CDD505-2E9C-101B-9397-08002B2CF9AE}" pid="9" name="MSIP_Label_879e395e-e3b5-421f-8616-70a10f9451af_Extended_MSFT_Method">
    <vt:lpwstr>Automatic</vt:lpwstr>
  </property>
  <property fmtid="{D5CDD505-2E9C-101B-9397-08002B2CF9AE}" pid="10" name="Sensitivity">
    <vt:lpwstr>Public</vt:lpwstr>
  </property>
</Properties>
</file>